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tohDBMS-DEV\Desktop\(2)\project\"/>
    </mc:Choice>
  </mc:AlternateContent>
  <xr:revisionPtr revIDLastSave="0" documentId="13_ncr:1_{69EC621E-FCC9-4069-B60F-15C416AF4466}" xr6:coauthVersionLast="47" xr6:coauthVersionMax="47" xr10:uidLastSave="{00000000-0000-0000-0000-000000000000}"/>
  <bookViews>
    <workbookView xWindow="-120" yWindow="-120" windowWidth="20730" windowHeight="11760" xr2:uid="{802C3C9E-B1C9-4E3B-8BB3-00868A1F73EA}"/>
  </bookViews>
  <sheets>
    <sheet name="BROADSHEET" sheetId="1" r:id="rId1"/>
    <sheet name="REPORTCARDS" sheetId="2" r:id="rId2"/>
  </sheets>
  <definedNames>
    <definedName name="_xlnm.Print_Area" localSheetId="0">BROADSHEET!$C$3:$U$24</definedName>
    <definedName name="_xlnm.Print_Area" localSheetId="1">REPORTCARDS!$E$4:$J$26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" l="1"/>
  <c r="I9" i="2"/>
  <c r="F11" i="2"/>
  <c r="G15" i="1"/>
  <c r="E23" i="2"/>
  <c r="I23" i="2"/>
  <c r="F13" i="2"/>
  <c r="H20" i="2"/>
  <c r="H19" i="2"/>
  <c r="H18" i="2"/>
  <c r="H17" i="2"/>
  <c r="J20" i="2" l="1"/>
  <c r="J19" i="2"/>
  <c r="J18" i="2"/>
  <c r="I17" i="2"/>
  <c r="J16" i="2"/>
  <c r="I15" i="1"/>
  <c r="K15" i="1"/>
  <c r="M15" i="1"/>
  <c r="O15" i="1"/>
  <c r="G13" i="1"/>
  <c r="I13" i="1"/>
  <c r="K13" i="1"/>
  <c r="M13" i="1"/>
  <c r="O13" i="1"/>
  <c r="G16" i="1"/>
  <c r="I16" i="1"/>
  <c r="K16" i="1"/>
  <c r="M16" i="1"/>
  <c r="O16" i="1"/>
  <c r="G17" i="1"/>
  <c r="I17" i="1"/>
  <c r="K17" i="1"/>
  <c r="M17" i="1"/>
  <c r="O17" i="1"/>
  <c r="G19" i="1"/>
  <c r="I19" i="1"/>
  <c r="K19" i="1"/>
  <c r="M19" i="1"/>
  <c r="O19" i="1"/>
  <c r="G20" i="1"/>
  <c r="I20" i="1"/>
  <c r="K20" i="1"/>
  <c r="M20" i="1"/>
  <c r="O20" i="1"/>
  <c r="G21" i="1"/>
  <c r="I21" i="1"/>
  <c r="K21" i="1"/>
  <c r="M21" i="1"/>
  <c r="O21" i="1"/>
  <c r="AJ14" i="1"/>
  <c r="G7" i="1"/>
  <c r="I7" i="1"/>
  <c r="K7" i="1"/>
  <c r="M7" i="1"/>
  <c r="O7" i="1"/>
  <c r="G24" i="1"/>
  <c r="I24" i="1"/>
  <c r="K24" i="1"/>
  <c r="M24" i="1"/>
  <c r="O24" i="1"/>
  <c r="G27" i="1"/>
  <c r="I27" i="1"/>
  <c r="K27" i="1"/>
  <c r="M27" i="1"/>
  <c r="O27" i="1"/>
  <c r="G25" i="1"/>
  <c r="I25" i="1"/>
  <c r="K25" i="1"/>
  <c r="M25" i="1"/>
  <c r="O25" i="1"/>
  <c r="G8" i="1"/>
  <c r="I8" i="1"/>
  <c r="K8" i="1"/>
  <c r="M8" i="1"/>
  <c r="O8" i="1"/>
  <c r="G5" i="1"/>
  <c r="I5" i="1"/>
  <c r="K5" i="1"/>
  <c r="M5" i="1"/>
  <c r="O5" i="1"/>
  <c r="G22" i="1"/>
  <c r="I22" i="1"/>
  <c r="K22" i="1"/>
  <c r="M22" i="1"/>
  <c r="O22" i="1"/>
  <c r="G12" i="1"/>
  <c r="I12" i="1"/>
  <c r="K12" i="1"/>
  <c r="M12" i="1"/>
  <c r="O12" i="1"/>
  <c r="G14" i="1"/>
  <c r="I14" i="1"/>
  <c r="K14" i="1"/>
  <c r="M14" i="1"/>
  <c r="O14" i="1"/>
  <c r="G10" i="1"/>
  <c r="I10" i="1"/>
  <c r="K10" i="1"/>
  <c r="M10" i="1"/>
  <c r="O10" i="1"/>
  <c r="G23" i="1"/>
  <c r="I23" i="1"/>
  <c r="K23" i="1"/>
  <c r="M23" i="1"/>
  <c r="O23" i="1"/>
  <c r="G18" i="1"/>
  <c r="I18" i="1"/>
  <c r="K18" i="1"/>
  <c r="M18" i="1"/>
  <c r="O18" i="1"/>
  <c r="G6" i="1"/>
  <c r="I6" i="1"/>
  <c r="K6" i="1"/>
  <c r="M6" i="1"/>
  <c r="O6" i="1"/>
  <c r="G28" i="1"/>
  <c r="I28" i="1"/>
  <c r="K28" i="1"/>
  <c r="M28" i="1"/>
  <c r="O28" i="1"/>
  <c r="G29" i="1"/>
  <c r="I29" i="1"/>
  <c r="K29" i="1"/>
  <c r="M29" i="1"/>
  <c r="O29" i="1"/>
  <c r="G30" i="1"/>
  <c r="I30" i="1"/>
  <c r="K30" i="1"/>
  <c r="M30" i="1"/>
  <c r="O30" i="1"/>
  <c r="G21" i="2"/>
  <c r="P15" i="1" l="1"/>
  <c r="P22" i="1"/>
  <c r="P27" i="1"/>
  <c r="Q27" i="1" s="1"/>
  <c r="R27" i="1" s="1"/>
  <c r="T27" i="1" s="1"/>
  <c r="P21" i="1"/>
  <c r="Q21" i="1" s="1"/>
  <c r="R21" i="1" s="1"/>
  <c r="T21" i="1" s="1"/>
  <c r="P16" i="1"/>
  <c r="Q16" i="1" s="1"/>
  <c r="R16" i="1" s="1"/>
  <c r="T16" i="1" s="1"/>
  <c r="P5" i="1"/>
  <c r="P24" i="1"/>
  <c r="Q24" i="1" s="1"/>
  <c r="R24" i="1" s="1"/>
  <c r="T24" i="1" s="1"/>
  <c r="P20" i="1"/>
  <c r="Q20" i="1" s="1"/>
  <c r="R20" i="1" s="1"/>
  <c r="T20" i="1" s="1"/>
  <c r="P13" i="1"/>
  <c r="Q13" i="1" s="1"/>
  <c r="R13" i="1" s="1"/>
  <c r="T13" i="1" s="1"/>
  <c r="P14" i="1"/>
  <c r="P8" i="1"/>
  <c r="Q8" i="1" s="1"/>
  <c r="R8" i="1" s="1"/>
  <c r="T8" i="1" s="1"/>
  <c r="P7" i="1"/>
  <c r="Q7" i="1" s="1"/>
  <c r="R7" i="1" s="1"/>
  <c r="T7" i="1" s="1"/>
  <c r="P19" i="1"/>
  <c r="Q19" i="1" s="1"/>
  <c r="R19" i="1" s="1"/>
  <c r="T19" i="1" s="1"/>
  <c r="P12" i="1"/>
  <c r="P25" i="1"/>
  <c r="Q25" i="1" s="1"/>
  <c r="R25" i="1" s="1"/>
  <c r="T25" i="1" s="1"/>
  <c r="P17" i="1"/>
  <c r="Q17" i="1" s="1"/>
  <c r="R17" i="1" s="1"/>
  <c r="T17" i="1" s="1"/>
  <c r="Q15" i="1"/>
  <c r="R15" i="1" s="1"/>
  <c r="T15" i="1" s="1"/>
  <c r="P23" i="1"/>
  <c r="Q23" i="1" s="1"/>
  <c r="R23" i="1" s="1"/>
  <c r="T23" i="1" s="1"/>
  <c r="Q14" i="1"/>
  <c r="R14" i="1" s="1"/>
  <c r="T14" i="1" s="1"/>
  <c r="Q22" i="1"/>
  <c r="R22" i="1" s="1"/>
  <c r="T22" i="1" s="1"/>
  <c r="P6" i="1"/>
  <c r="Q6" i="1" s="1"/>
  <c r="R6" i="1" s="1"/>
  <c r="T6" i="1" s="1"/>
  <c r="P18" i="1"/>
  <c r="P30" i="1"/>
  <c r="S30" i="1" s="1"/>
  <c r="P29" i="1"/>
  <c r="Q29" i="1" s="1"/>
  <c r="R29" i="1" s="1"/>
  <c r="T29" i="1" s="1"/>
  <c r="P28" i="1"/>
  <c r="S28" i="1" s="1"/>
  <c r="P10" i="1"/>
  <c r="Q10" i="1" s="1"/>
  <c r="R10" i="1" s="1"/>
  <c r="T10" i="1" s="1"/>
  <c r="H21" i="2"/>
  <c r="H22" i="2" s="1"/>
  <c r="J22" i="2" s="1"/>
  <c r="J17" i="2"/>
  <c r="I18" i="2"/>
  <c r="I16" i="2"/>
  <c r="I20" i="2"/>
  <c r="I19" i="2"/>
  <c r="G26" i="1"/>
  <c r="Q30" i="1" l="1"/>
  <c r="R30" i="1" s="1"/>
  <c r="T30" i="1" s="1"/>
  <c r="Q28" i="1"/>
  <c r="R28" i="1" s="1"/>
  <c r="T28" i="1" s="1"/>
  <c r="Q18" i="1"/>
  <c r="R18" i="1" s="1"/>
  <c r="T18" i="1" s="1"/>
  <c r="Q12" i="1"/>
  <c r="R12" i="1" s="1"/>
  <c r="T12" i="1" s="1"/>
  <c r="S29" i="1"/>
  <c r="Q5" i="1"/>
  <c r="R5" i="1" s="1"/>
  <c r="T5" i="1" s="1"/>
  <c r="J21" i="2"/>
  <c r="I21" i="2"/>
  <c r="O11" i="1"/>
  <c r="O26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M11" i="1"/>
  <c r="M26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K11" i="1"/>
  <c r="K26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I11" i="1"/>
  <c r="I26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G11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M9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O9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K9" i="1"/>
  <c r="I9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40" i="1"/>
  <c r="I1241" i="1"/>
  <c r="I1242" i="1"/>
  <c r="I1243" i="1"/>
  <c r="I1244" i="1"/>
  <c r="G9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P26" i="1" l="1"/>
  <c r="P11" i="1"/>
  <c r="P9" i="1"/>
  <c r="P1234" i="1"/>
  <c r="Q1234" i="1" s="1"/>
  <c r="P1230" i="1"/>
  <c r="Q1230" i="1" s="1"/>
  <c r="P1214" i="1"/>
  <c r="Q1214" i="1" s="1"/>
  <c r="P1210" i="1"/>
  <c r="Q1210" i="1" s="1"/>
  <c r="P993" i="1"/>
  <c r="Q993" i="1" s="1"/>
  <c r="R993" i="1" s="1"/>
  <c r="P1193" i="1"/>
  <c r="Q1193" i="1" s="1"/>
  <c r="P1185" i="1"/>
  <c r="Q1185" i="1" s="1"/>
  <c r="P1177" i="1"/>
  <c r="Q1177" i="1" s="1"/>
  <c r="P1169" i="1"/>
  <c r="Q1169" i="1" s="1"/>
  <c r="P1161" i="1"/>
  <c r="Q1161" i="1" s="1"/>
  <c r="P1153" i="1"/>
  <c r="Q1153" i="1" s="1"/>
  <c r="P1145" i="1"/>
  <c r="Q1145" i="1" s="1"/>
  <c r="P1137" i="1"/>
  <c r="Q1137" i="1" s="1"/>
  <c r="P1129" i="1"/>
  <c r="Q1129" i="1" s="1"/>
  <c r="P1121" i="1"/>
  <c r="Q1121" i="1" s="1"/>
  <c r="P1113" i="1"/>
  <c r="Q1113" i="1" s="1"/>
  <c r="P1105" i="1"/>
  <c r="Q1105" i="1" s="1"/>
  <c r="P1097" i="1"/>
  <c r="Q1097" i="1" s="1"/>
  <c r="P1089" i="1"/>
  <c r="Q1089" i="1" s="1"/>
  <c r="P1081" i="1"/>
  <c r="Q1081" i="1" s="1"/>
  <c r="P1073" i="1"/>
  <c r="Q1073" i="1" s="1"/>
  <c r="P1065" i="1"/>
  <c r="Q1065" i="1" s="1"/>
  <c r="P1057" i="1"/>
  <c r="Q1057" i="1" s="1"/>
  <c r="P1053" i="1"/>
  <c r="Q1053" i="1" s="1"/>
  <c r="P1037" i="1"/>
  <c r="Q1037" i="1" s="1"/>
  <c r="P1197" i="1"/>
  <c r="Q1197" i="1" s="1"/>
  <c r="P1189" i="1"/>
  <c r="Q1189" i="1" s="1"/>
  <c r="P1181" i="1"/>
  <c r="Q1181" i="1" s="1"/>
  <c r="P1173" i="1"/>
  <c r="Q1173" i="1" s="1"/>
  <c r="P1165" i="1"/>
  <c r="Q1165" i="1" s="1"/>
  <c r="P1157" i="1"/>
  <c r="Q1157" i="1" s="1"/>
  <c r="P1149" i="1"/>
  <c r="Q1149" i="1" s="1"/>
  <c r="P1141" i="1"/>
  <c r="Q1141" i="1" s="1"/>
  <c r="P1133" i="1"/>
  <c r="Q1133" i="1" s="1"/>
  <c r="P1125" i="1"/>
  <c r="Q1125" i="1" s="1"/>
  <c r="P1117" i="1"/>
  <c r="Q1117" i="1" s="1"/>
  <c r="P1109" i="1"/>
  <c r="Q1109" i="1" s="1"/>
  <c r="P1101" i="1"/>
  <c r="Q1101" i="1" s="1"/>
  <c r="P1093" i="1"/>
  <c r="Q1093" i="1" s="1"/>
  <c r="P1085" i="1"/>
  <c r="Q1085" i="1" s="1"/>
  <c r="P1077" i="1"/>
  <c r="Q1077" i="1" s="1"/>
  <c r="P1069" i="1"/>
  <c r="Q1069" i="1" s="1"/>
  <c r="P1061" i="1"/>
  <c r="Q1061" i="1" s="1"/>
  <c r="P1049" i="1"/>
  <c r="Q1049" i="1" s="1"/>
  <c r="P861" i="1"/>
  <c r="Q861" i="1" s="1"/>
  <c r="R861" i="1" s="1"/>
  <c r="P423" i="1"/>
  <c r="Q423" i="1" s="1"/>
  <c r="R423" i="1" s="1"/>
  <c r="T423" i="1" s="1"/>
  <c r="P1013" i="1"/>
  <c r="Q1013" i="1" s="1"/>
  <c r="R1013" i="1" s="1"/>
  <c r="P989" i="1"/>
  <c r="Q989" i="1" s="1"/>
  <c r="R989" i="1" s="1"/>
  <c r="P977" i="1"/>
  <c r="Q977" i="1" s="1"/>
  <c r="R977" i="1" s="1"/>
  <c r="P969" i="1"/>
  <c r="Q969" i="1" s="1"/>
  <c r="R969" i="1" s="1"/>
  <c r="P961" i="1"/>
  <c r="Q961" i="1" s="1"/>
  <c r="R961" i="1" s="1"/>
  <c r="P949" i="1"/>
  <c r="Q949" i="1" s="1"/>
  <c r="R949" i="1" s="1"/>
  <c r="P941" i="1"/>
  <c r="Q941" i="1" s="1"/>
  <c r="R941" i="1" s="1"/>
  <c r="P933" i="1"/>
  <c r="Q933" i="1" s="1"/>
  <c r="R933" i="1" s="1"/>
  <c r="P921" i="1"/>
  <c r="Q921" i="1" s="1"/>
  <c r="R921" i="1" s="1"/>
  <c r="P913" i="1"/>
  <c r="Q913" i="1" s="1"/>
  <c r="R913" i="1" s="1"/>
  <c r="P905" i="1"/>
  <c r="Q905" i="1" s="1"/>
  <c r="R905" i="1" s="1"/>
  <c r="P893" i="1"/>
  <c r="Q893" i="1" s="1"/>
  <c r="R893" i="1" s="1"/>
  <c r="P873" i="1"/>
  <c r="Q873" i="1" s="1"/>
  <c r="R873" i="1" s="1"/>
  <c r="P741" i="1"/>
  <c r="Q741" i="1" s="1"/>
  <c r="R741" i="1" s="1"/>
  <c r="P733" i="1"/>
  <c r="Q733" i="1" s="1"/>
  <c r="R733" i="1" s="1"/>
  <c r="P725" i="1"/>
  <c r="Q725" i="1" s="1"/>
  <c r="R725" i="1" s="1"/>
  <c r="P717" i="1"/>
  <c r="Q717" i="1" s="1"/>
  <c r="R717" i="1" s="1"/>
  <c r="P709" i="1"/>
  <c r="Q709" i="1" s="1"/>
  <c r="R709" i="1" s="1"/>
  <c r="P701" i="1"/>
  <c r="Q701" i="1" s="1"/>
  <c r="R701" i="1" s="1"/>
  <c r="P693" i="1"/>
  <c r="Q693" i="1" s="1"/>
  <c r="R693" i="1" s="1"/>
  <c r="P685" i="1"/>
  <c r="Q685" i="1" s="1"/>
  <c r="R685" i="1" s="1"/>
  <c r="P677" i="1"/>
  <c r="Q677" i="1" s="1"/>
  <c r="R677" i="1" s="1"/>
  <c r="P665" i="1"/>
  <c r="Q665" i="1" s="1"/>
  <c r="R665" i="1" s="1"/>
  <c r="P657" i="1"/>
  <c r="Q657" i="1" s="1"/>
  <c r="R657" i="1" s="1"/>
  <c r="P649" i="1"/>
  <c r="Q649" i="1" s="1"/>
  <c r="R649" i="1" s="1"/>
  <c r="T649" i="1" s="1"/>
  <c r="P641" i="1"/>
  <c r="Q641" i="1" s="1"/>
  <c r="R641" i="1" s="1"/>
  <c r="T641" i="1" s="1"/>
  <c r="P573" i="1"/>
  <c r="Q573" i="1" s="1"/>
  <c r="R573" i="1" s="1"/>
  <c r="T573" i="1" s="1"/>
  <c r="P565" i="1"/>
  <c r="P557" i="1"/>
  <c r="P549" i="1"/>
  <c r="P541" i="1"/>
  <c r="P529" i="1"/>
  <c r="P517" i="1"/>
  <c r="P503" i="1"/>
  <c r="S503" i="1" s="1"/>
  <c r="P499" i="1"/>
  <c r="Q499" i="1" s="1"/>
  <c r="R499" i="1" s="1"/>
  <c r="T499" i="1" s="1"/>
  <c r="P495" i="1"/>
  <c r="S495" i="1" s="1"/>
  <c r="P491" i="1"/>
  <c r="Q491" i="1" s="1"/>
  <c r="R491" i="1" s="1"/>
  <c r="T491" i="1" s="1"/>
  <c r="P1045" i="1"/>
  <c r="Q1045" i="1" s="1"/>
  <c r="P1041" i="1"/>
  <c r="Q1041" i="1" s="1"/>
  <c r="P1033" i="1"/>
  <c r="Q1033" i="1" s="1"/>
  <c r="P1029" i="1"/>
  <c r="Q1029" i="1" s="1"/>
  <c r="P1025" i="1"/>
  <c r="Q1025" i="1" s="1"/>
  <c r="P1021" i="1"/>
  <c r="Q1021" i="1" s="1"/>
  <c r="P1017" i="1"/>
  <c r="Q1017" i="1" s="1"/>
  <c r="R1017" i="1" s="1"/>
  <c r="P1009" i="1"/>
  <c r="Q1009" i="1" s="1"/>
  <c r="R1009" i="1" s="1"/>
  <c r="P1005" i="1"/>
  <c r="Q1005" i="1" s="1"/>
  <c r="R1005" i="1" s="1"/>
  <c r="P1001" i="1"/>
  <c r="Q1001" i="1" s="1"/>
  <c r="R1001" i="1" s="1"/>
  <c r="P997" i="1"/>
  <c r="Q997" i="1" s="1"/>
  <c r="R997" i="1" s="1"/>
  <c r="P985" i="1"/>
  <c r="Q985" i="1" s="1"/>
  <c r="R985" i="1" s="1"/>
  <c r="P981" i="1"/>
  <c r="Q981" i="1" s="1"/>
  <c r="R981" i="1" s="1"/>
  <c r="P973" i="1"/>
  <c r="Q973" i="1" s="1"/>
  <c r="R973" i="1" s="1"/>
  <c r="P965" i="1"/>
  <c r="Q965" i="1" s="1"/>
  <c r="R965" i="1" s="1"/>
  <c r="P957" i="1"/>
  <c r="Q957" i="1" s="1"/>
  <c r="R957" i="1" s="1"/>
  <c r="P953" i="1"/>
  <c r="Q953" i="1" s="1"/>
  <c r="R953" i="1" s="1"/>
  <c r="P945" i="1"/>
  <c r="Q945" i="1" s="1"/>
  <c r="R945" i="1" s="1"/>
  <c r="P937" i="1"/>
  <c r="Q937" i="1" s="1"/>
  <c r="R937" i="1" s="1"/>
  <c r="P929" i="1"/>
  <c r="Q929" i="1" s="1"/>
  <c r="R929" i="1" s="1"/>
  <c r="P925" i="1"/>
  <c r="Q925" i="1" s="1"/>
  <c r="R925" i="1" s="1"/>
  <c r="P917" i="1"/>
  <c r="Q917" i="1" s="1"/>
  <c r="R917" i="1" s="1"/>
  <c r="P909" i="1"/>
  <c r="Q909" i="1" s="1"/>
  <c r="R909" i="1" s="1"/>
  <c r="P901" i="1"/>
  <c r="Q901" i="1" s="1"/>
  <c r="R901" i="1" s="1"/>
  <c r="P897" i="1"/>
  <c r="Q897" i="1" s="1"/>
  <c r="R897" i="1" s="1"/>
  <c r="P889" i="1"/>
  <c r="Q889" i="1" s="1"/>
  <c r="R889" i="1" s="1"/>
  <c r="P885" i="1"/>
  <c r="Q885" i="1" s="1"/>
  <c r="R885" i="1" s="1"/>
  <c r="P881" i="1"/>
  <c r="Q881" i="1" s="1"/>
  <c r="R881" i="1" s="1"/>
  <c r="P877" i="1"/>
  <c r="Q877" i="1" s="1"/>
  <c r="R877" i="1" s="1"/>
  <c r="P869" i="1"/>
  <c r="Q869" i="1" s="1"/>
  <c r="R869" i="1" s="1"/>
  <c r="P865" i="1"/>
  <c r="Q865" i="1" s="1"/>
  <c r="R865" i="1" s="1"/>
  <c r="P857" i="1"/>
  <c r="Q857" i="1" s="1"/>
  <c r="R857" i="1" s="1"/>
  <c r="P853" i="1"/>
  <c r="Q853" i="1" s="1"/>
  <c r="R853" i="1" s="1"/>
  <c r="P849" i="1"/>
  <c r="Q849" i="1" s="1"/>
  <c r="R849" i="1" s="1"/>
  <c r="P845" i="1"/>
  <c r="Q845" i="1" s="1"/>
  <c r="R845" i="1" s="1"/>
  <c r="P841" i="1"/>
  <c r="Q841" i="1" s="1"/>
  <c r="R841" i="1" s="1"/>
  <c r="P837" i="1"/>
  <c r="Q837" i="1" s="1"/>
  <c r="R837" i="1" s="1"/>
  <c r="P833" i="1"/>
  <c r="Q833" i="1" s="1"/>
  <c r="R833" i="1" s="1"/>
  <c r="P829" i="1"/>
  <c r="Q829" i="1" s="1"/>
  <c r="R829" i="1" s="1"/>
  <c r="P825" i="1"/>
  <c r="Q825" i="1" s="1"/>
  <c r="R825" i="1" s="1"/>
  <c r="P821" i="1"/>
  <c r="Q821" i="1" s="1"/>
  <c r="R821" i="1" s="1"/>
  <c r="P817" i="1"/>
  <c r="Q817" i="1" s="1"/>
  <c r="R817" i="1" s="1"/>
  <c r="P813" i="1"/>
  <c r="Q813" i="1" s="1"/>
  <c r="R813" i="1" s="1"/>
  <c r="P809" i="1"/>
  <c r="Q809" i="1" s="1"/>
  <c r="R809" i="1" s="1"/>
  <c r="P805" i="1"/>
  <c r="Q805" i="1" s="1"/>
  <c r="R805" i="1" s="1"/>
  <c r="P801" i="1"/>
  <c r="Q801" i="1" s="1"/>
  <c r="R801" i="1" s="1"/>
  <c r="P797" i="1"/>
  <c r="Q797" i="1" s="1"/>
  <c r="R797" i="1" s="1"/>
  <c r="P793" i="1"/>
  <c r="Q793" i="1" s="1"/>
  <c r="R793" i="1" s="1"/>
  <c r="P789" i="1"/>
  <c r="Q789" i="1" s="1"/>
  <c r="R789" i="1" s="1"/>
  <c r="P785" i="1"/>
  <c r="Q785" i="1" s="1"/>
  <c r="R785" i="1" s="1"/>
  <c r="P781" i="1"/>
  <c r="Q781" i="1" s="1"/>
  <c r="R781" i="1" s="1"/>
  <c r="P777" i="1"/>
  <c r="Q777" i="1" s="1"/>
  <c r="R777" i="1" s="1"/>
  <c r="P773" i="1"/>
  <c r="Q773" i="1" s="1"/>
  <c r="R773" i="1" s="1"/>
  <c r="P769" i="1"/>
  <c r="Q769" i="1" s="1"/>
  <c r="R769" i="1" s="1"/>
  <c r="P765" i="1"/>
  <c r="Q765" i="1" s="1"/>
  <c r="R765" i="1" s="1"/>
  <c r="P761" i="1"/>
  <c r="Q761" i="1" s="1"/>
  <c r="R761" i="1" s="1"/>
  <c r="P757" i="1"/>
  <c r="Q757" i="1" s="1"/>
  <c r="R757" i="1" s="1"/>
  <c r="P753" i="1"/>
  <c r="Q753" i="1" s="1"/>
  <c r="R753" i="1" s="1"/>
  <c r="P749" i="1"/>
  <c r="Q749" i="1" s="1"/>
  <c r="R749" i="1" s="1"/>
  <c r="P745" i="1"/>
  <c r="Q745" i="1" s="1"/>
  <c r="R745" i="1" s="1"/>
  <c r="P737" i="1"/>
  <c r="Q737" i="1" s="1"/>
  <c r="R737" i="1" s="1"/>
  <c r="P729" i="1"/>
  <c r="Q729" i="1" s="1"/>
  <c r="R729" i="1" s="1"/>
  <c r="P721" i="1"/>
  <c r="Q721" i="1" s="1"/>
  <c r="R721" i="1" s="1"/>
  <c r="P713" i="1"/>
  <c r="Q713" i="1" s="1"/>
  <c r="R713" i="1" s="1"/>
  <c r="P705" i="1"/>
  <c r="Q705" i="1" s="1"/>
  <c r="R705" i="1" s="1"/>
  <c r="P697" i="1"/>
  <c r="Q697" i="1" s="1"/>
  <c r="R697" i="1" s="1"/>
  <c r="P689" i="1"/>
  <c r="Q689" i="1" s="1"/>
  <c r="R689" i="1" s="1"/>
  <c r="P681" i="1"/>
  <c r="Q681" i="1" s="1"/>
  <c r="R681" i="1" s="1"/>
  <c r="P673" i="1"/>
  <c r="Q673" i="1" s="1"/>
  <c r="R673" i="1" s="1"/>
  <c r="P669" i="1"/>
  <c r="Q669" i="1" s="1"/>
  <c r="R669" i="1" s="1"/>
  <c r="P661" i="1"/>
  <c r="Q661" i="1" s="1"/>
  <c r="R661" i="1" s="1"/>
  <c r="P653" i="1"/>
  <c r="Q653" i="1" s="1"/>
  <c r="R653" i="1" s="1"/>
  <c r="T653" i="1" s="1"/>
  <c r="P645" i="1"/>
  <c r="Q645" i="1" s="1"/>
  <c r="R645" i="1" s="1"/>
  <c r="T645" i="1" s="1"/>
  <c r="P637" i="1"/>
  <c r="Q637" i="1" s="1"/>
  <c r="R637" i="1" s="1"/>
  <c r="T637" i="1" s="1"/>
  <c r="P569" i="1"/>
  <c r="Q569" i="1" s="1"/>
  <c r="R569" i="1" s="1"/>
  <c r="T569" i="1" s="1"/>
  <c r="P561" i="1"/>
  <c r="P553" i="1"/>
  <c r="P545" i="1"/>
  <c r="P537" i="1"/>
  <c r="P533" i="1"/>
  <c r="P525" i="1"/>
  <c r="P521" i="1"/>
  <c r="P513" i="1"/>
  <c r="P509" i="1"/>
  <c r="P1241" i="1"/>
  <c r="Q1241" i="1" s="1"/>
  <c r="P407" i="1"/>
  <c r="S407" i="1" s="1"/>
  <c r="P391" i="1"/>
  <c r="Q391" i="1" s="1"/>
  <c r="R391" i="1" s="1"/>
  <c r="T391" i="1" s="1"/>
  <c r="P375" i="1"/>
  <c r="S375" i="1" s="1"/>
  <c r="P359" i="1"/>
  <c r="S359" i="1" s="1"/>
  <c r="P331" i="1"/>
  <c r="Q331" i="1" s="1"/>
  <c r="R331" i="1" s="1"/>
  <c r="T331" i="1" s="1"/>
  <c r="P315" i="1"/>
  <c r="S315" i="1" s="1"/>
  <c r="P295" i="1"/>
  <c r="S295" i="1" s="1"/>
  <c r="P275" i="1"/>
  <c r="Q275" i="1" s="1"/>
  <c r="R275" i="1" s="1"/>
  <c r="T275" i="1" s="1"/>
  <c r="P267" i="1"/>
  <c r="S267" i="1" s="1"/>
  <c r="P259" i="1"/>
  <c r="Q259" i="1" s="1"/>
  <c r="R259" i="1" s="1"/>
  <c r="T259" i="1" s="1"/>
  <c r="P247" i="1"/>
  <c r="S247" i="1" s="1"/>
  <c r="P239" i="1"/>
  <c r="S239" i="1" s="1"/>
  <c r="P231" i="1"/>
  <c r="S231" i="1" s="1"/>
  <c r="P223" i="1"/>
  <c r="S223" i="1" s="1"/>
  <c r="P215" i="1"/>
  <c r="S215" i="1" s="1"/>
  <c r="P203" i="1"/>
  <c r="Q203" i="1" s="1"/>
  <c r="R203" i="1" s="1"/>
  <c r="T203" i="1" s="1"/>
  <c r="P195" i="1"/>
  <c r="S195" i="1" s="1"/>
  <c r="P187" i="1"/>
  <c r="S187" i="1" s="1"/>
  <c r="P179" i="1"/>
  <c r="Q179" i="1" s="1"/>
  <c r="R179" i="1" s="1"/>
  <c r="T179" i="1" s="1"/>
  <c r="P171" i="1"/>
  <c r="Q171" i="1" s="1"/>
  <c r="R171" i="1" s="1"/>
  <c r="T171" i="1" s="1"/>
  <c r="P159" i="1"/>
  <c r="S159" i="1" s="1"/>
  <c r="P151" i="1"/>
  <c r="S151" i="1" s="1"/>
  <c r="P143" i="1"/>
  <c r="S143" i="1" s="1"/>
  <c r="P135" i="1"/>
  <c r="S135" i="1" s="1"/>
  <c r="P127" i="1"/>
  <c r="S127" i="1" s="1"/>
  <c r="P119" i="1"/>
  <c r="Q119" i="1" s="1"/>
  <c r="R119" i="1" s="1"/>
  <c r="T119" i="1" s="1"/>
  <c r="P111" i="1"/>
  <c r="S111" i="1" s="1"/>
  <c r="P99" i="1"/>
  <c r="Q99" i="1" s="1"/>
  <c r="R99" i="1" s="1"/>
  <c r="T99" i="1" s="1"/>
  <c r="P87" i="1"/>
  <c r="S87" i="1" s="1"/>
  <c r="P63" i="1"/>
  <c r="S63" i="1" s="1"/>
  <c r="P31" i="1"/>
  <c r="S31" i="1" s="1"/>
  <c r="P487" i="1"/>
  <c r="S487" i="1" s="1"/>
  <c r="P483" i="1"/>
  <c r="S483" i="1" s="1"/>
  <c r="P479" i="1"/>
  <c r="S479" i="1" s="1"/>
  <c r="P475" i="1"/>
  <c r="Q475" i="1" s="1"/>
  <c r="R475" i="1" s="1"/>
  <c r="T475" i="1" s="1"/>
  <c r="P471" i="1"/>
  <c r="S471" i="1" s="1"/>
  <c r="P467" i="1"/>
  <c r="Q467" i="1" s="1"/>
  <c r="R467" i="1" s="1"/>
  <c r="T467" i="1" s="1"/>
  <c r="P463" i="1"/>
  <c r="S463" i="1" s="1"/>
  <c r="P459" i="1"/>
  <c r="Q459" i="1" s="1"/>
  <c r="R459" i="1" s="1"/>
  <c r="T459" i="1" s="1"/>
  <c r="P455" i="1"/>
  <c r="S455" i="1" s="1"/>
  <c r="P451" i="1"/>
  <c r="S451" i="1" s="1"/>
  <c r="P447" i="1"/>
  <c r="Q447" i="1" s="1"/>
  <c r="R447" i="1" s="1"/>
  <c r="T447" i="1" s="1"/>
  <c r="P443" i="1"/>
  <c r="Q443" i="1" s="1"/>
  <c r="R443" i="1" s="1"/>
  <c r="T443" i="1" s="1"/>
  <c r="P439" i="1"/>
  <c r="S439" i="1" s="1"/>
  <c r="P435" i="1"/>
  <c r="S435" i="1" s="1"/>
  <c r="P431" i="1"/>
  <c r="S431" i="1" s="1"/>
  <c r="P427" i="1"/>
  <c r="Q427" i="1" s="1"/>
  <c r="R427" i="1" s="1"/>
  <c r="T427" i="1" s="1"/>
  <c r="P419" i="1"/>
  <c r="Q419" i="1" s="1"/>
  <c r="R419" i="1" s="1"/>
  <c r="T419" i="1" s="1"/>
  <c r="P415" i="1"/>
  <c r="S415" i="1" s="1"/>
  <c r="P411" i="1"/>
  <c r="S411" i="1" s="1"/>
  <c r="P403" i="1"/>
  <c r="Q403" i="1" s="1"/>
  <c r="R403" i="1" s="1"/>
  <c r="T403" i="1" s="1"/>
  <c r="P399" i="1"/>
  <c r="S399" i="1" s="1"/>
  <c r="P395" i="1"/>
  <c r="S395" i="1" s="1"/>
  <c r="P387" i="1"/>
  <c r="Q387" i="1" s="1"/>
  <c r="R387" i="1" s="1"/>
  <c r="T387" i="1" s="1"/>
  <c r="P383" i="1"/>
  <c r="S383" i="1" s="1"/>
  <c r="P379" i="1"/>
  <c r="Q379" i="1" s="1"/>
  <c r="R379" i="1" s="1"/>
  <c r="T379" i="1" s="1"/>
  <c r="P371" i="1"/>
  <c r="S371" i="1" s="1"/>
  <c r="P367" i="1"/>
  <c r="S367" i="1" s="1"/>
  <c r="P363" i="1"/>
  <c r="Q363" i="1" s="1"/>
  <c r="R363" i="1" s="1"/>
  <c r="T363" i="1" s="1"/>
  <c r="P355" i="1"/>
  <c r="Q355" i="1" s="1"/>
  <c r="R355" i="1" s="1"/>
  <c r="T355" i="1" s="1"/>
  <c r="P351" i="1"/>
  <c r="S351" i="1" s="1"/>
  <c r="P347" i="1"/>
  <c r="S347" i="1" s="1"/>
  <c r="P343" i="1"/>
  <c r="S343" i="1" s="1"/>
  <c r="P339" i="1"/>
  <c r="Q339" i="1" s="1"/>
  <c r="R339" i="1" s="1"/>
  <c r="T339" i="1" s="1"/>
  <c r="P335" i="1"/>
  <c r="S335" i="1" s="1"/>
  <c r="P327" i="1"/>
  <c r="Q327" i="1" s="1"/>
  <c r="R327" i="1" s="1"/>
  <c r="T327" i="1" s="1"/>
  <c r="P323" i="1"/>
  <c r="Q323" i="1" s="1"/>
  <c r="R323" i="1" s="1"/>
  <c r="T323" i="1" s="1"/>
  <c r="P319" i="1"/>
  <c r="S319" i="1" s="1"/>
  <c r="P311" i="1"/>
  <c r="Q311" i="1" s="1"/>
  <c r="R311" i="1" s="1"/>
  <c r="T311" i="1" s="1"/>
  <c r="P307" i="1"/>
  <c r="S307" i="1" s="1"/>
  <c r="P303" i="1"/>
  <c r="S303" i="1" s="1"/>
  <c r="P299" i="1"/>
  <c r="Q299" i="1" s="1"/>
  <c r="R299" i="1" s="1"/>
  <c r="T299" i="1" s="1"/>
  <c r="P291" i="1"/>
  <c r="S291" i="1" s="1"/>
  <c r="P287" i="1"/>
  <c r="Q287" i="1" s="1"/>
  <c r="R287" i="1" s="1"/>
  <c r="T287" i="1" s="1"/>
  <c r="P283" i="1"/>
  <c r="Q283" i="1" s="1"/>
  <c r="R283" i="1" s="1"/>
  <c r="T283" i="1" s="1"/>
  <c r="P279" i="1"/>
  <c r="S279" i="1" s="1"/>
  <c r="P271" i="1"/>
  <c r="S271" i="1" s="1"/>
  <c r="P263" i="1"/>
  <c r="S263" i="1" s="1"/>
  <c r="P255" i="1"/>
  <c r="S255" i="1" s="1"/>
  <c r="P251" i="1"/>
  <c r="Q251" i="1" s="1"/>
  <c r="R251" i="1" s="1"/>
  <c r="T251" i="1" s="1"/>
  <c r="P243" i="1"/>
  <c r="Q243" i="1" s="1"/>
  <c r="R243" i="1" s="1"/>
  <c r="T243" i="1" s="1"/>
  <c r="P235" i="1"/>
  <c r="S235" i="1" s="1"/>
  <c r="P227" i="1"/>
  <c r="Q227" i="1" s="1"/>
  <c r="R227" i="1" s="1"/>
  <c r="T227" i="1" s="1"/>
  <c r="P219" i="1"/>
  <c r="Q219" i="1" s="1"/>
  <c r="R219" i="1" s="1"/>
  <c r="T219" i="1" s="1"/>
  <c r="P211" i="1"/>
  <c r="Q211" i="1" s="1"/>
  <c r="R211" i="1" s="1"/>
  <c r="T211" i="1" s="1"/>
  <c r="P207" i="1"/>
  <c r="S207" i="1" s="1"/>
  <c r="P199" i="1"/>
  <c r="S199" i="1" s="1"/>
  <c r="P191" i="1"/>
  <c r="S191" i="1" s="1"/>
  <c r="P183" i="1"/>
  <c r="Q183" i="1" s="1"/>
  <c r="R183" i="1" s="1"/>
  <c r="T183" i="1" s="1"/>
  <c r="P175" i="1"/>
  <c r="Q175" i="1" s="1"/>
  <c r="R175" i="1" s="1"/>
  <c r="T175" i="1" s="1"/>
  <c r="P167" i="1"/>
  <c r="S167" i="1" s="1"/>
  <c r="P163" i="1"/>
  <c r="Q163" i="1" s="1"/>
  <c r="R163" i="1" s="1"/>
  <c r="T163" i="1" s="1"/>
  <c r="P155" i="1"/>
  <c r="S155" i="1" s="1"/>
  <c r="P147" i="1"/>
  <c r="S147" i="1" s="1"/>
  <c r="P139" i="1"/>
  <c r="Q139" i="1" s="1"/>
  <c r="R139" i="1" s="1"/>
  <c r="T139" i="1" s="1"/>
  <c r="P131" i="1"/>
  <c r="Q131" i="1" s="1"/>
  <c r="R131" i="1" s="1"/>
  <c r="T131" i="1" s="1"/>
  <c r="P123" i="1"/>
  <c r="S123" i="1" s="1"/>
  <c r="P115" i="1"/>
  <c r="S115" i="1" s="1"/>
  <c r="P107" i="1"/>
  <c r="Q107" i="1" s="1"/>
  <c r="R107" i="1" s="1"/>
  <c r="T107" i="1" s="1"/>
  <c r="P103" i="1"/>
  <c r="S103" i="1" s="1"/>
  <c r="P95" i="1"/>
  <c r="S95" i="1" s="1"/>
  <c r="P91" i="1"/>
  <c r="S91" i="1" s="1"/>
  <c r="P83" i="1"/>
  <c r="Q83" i="1" s="1"/>
  <c r="R83" i="1" s="1"/>
  <c r="T83" i="1" s="1"/>
  <c r="P79" i="1"/>
  <c r="S79" i="1" s="1"/>
  <c r="P75" i="1"/>
  <c r="Q75" i="1" s="1"/>
  <c r="R75" i="1" s="1"/>
  <c r="T75" i="1" s="1"/>
  <c r="P71" i="1"/>
  <c r="S71" i="1" s="1"/>
  <c r="P67" i="1"/>
  <c r="S67" i="1" s="1"/>
  <c r="P59" i="1"/>
  <c r="S59" i="1" s="1"/>
  <c r="P55" i="1"/>
  <c r="S55" i="1" s="1"/>
  <c r="P51" i="1"/>
  <c r="S51" i="1" s="1"/>
  <c r="P47" i="1"/>
  <c r="S47" i="1" s="1"/>
  <c r="P43" i="1"/>
  <c r="S43" i="1" s="1"/>
  <c r="P39" i="1"/>
  <c r="S39" i="1" s="1"/>
  <c r="P35" i="1"/>
  <c r="S35" i="1" s="1"/>
  <c r="P1237" i="1"/>
  <c r="Q1237" i="1" s="1"/>
  <c r="P1233" i="1"/>
  <c r="Q1233" i="1" s="1"/>
  <c r="P1229" i="1"/>
  <c r="Q1229" i="1" s="1"/>
  <c r="P1225" i="1"/>
  <c r="Q1225" i="1" s="1"/>
  <c r="P1221" i="1"/>
  <c r="Q1221" i="1" s="1"/>
  <c r="P1217" i="1"/>
  <c r="Q1217" i="1" s="1"/>
  <c r="P1213" i="1"/>
  <c r="Q1213" i="1" s="1"/>
  <c r="P1209" i="1"/>
  <c r="Q1209" i="1" s="1"/>
  <c r="P1205" i="1"/>
  <c r="Q1205" i="1" s="1"/>
  <c r="P1201" i="1"/>
  <c r="Q1201" i="1" s="1"/>
  <c r="P1242" i="1"/>
  <c r="Q1242" i="1" s="1"/>
  <c r="P1226" i="1"/>
  <c r="Q1226" i="1" s="1"/>
  <c r="P1218" i="1"/>
  <c r="Q1218" i="1" s="1"/>
  <c r="P1202" i="1"/>
  <c r="Q1202" i="1" s="1"/>
  <c r="P998" i="1"/>
  <c r="Q998" i="1" s="1"/>
  <c r="R998" i="1" s="1"/>
  <c r="P502" i="1"/>
  <c r="Q502" i="1" s="1"/>
  <c r="R502" i="1" s="1"/>
  <c r="T502" i="1" s="1"/>
  <c r="P498" i="1"/>
  <c r="S498" i="1" s="1"/>
  <c r="P494" i="1"/>
  <c r="S494" i="1" s="1"/>
  <c r="P490" i="1"/>
  <c r="S490" i="1" s="1"/>
  <c r="P486" i="1"/>
  <c r="S486" i="1" s="1"/>
  <c r="P482" i="1"/>
  <c r="S482" i="1" s="1"/>
  <c r="P478" i="1"/>
  <c r="S478" i="1" s="1"/>
  <c r="P474" i="1"/>
  <c r="S474" i="1" s="1"/>
  <c r="P470" i="1"/>
  <c r="Q470" i="1" s="1"/>
  <c r="R470" i="1" s="1"/>
  <c r="T470" i="1" s="1"/>
  <c r="P466" i="1"/>
  <c r="S466" i="1" s="1"/>
  <c r="P462" i="1"/>
  <c r="S462" i="1" s="1"/>
  <c r="P458" i="1"/>
  <c r="Q458" i="1" s="1"/>
  <c r="R458" i="1" s="1"/>
  <c r="T458" i="1" s="1"/>
  <c r="P454" i="1"/>
  <c r="S454" i="1" s="1"/>
  <c r="P450" i="1"/>
  <c r="S450" i="1" s="1"/>
  <c r="P446" i="1"/>
  <c r="S446" i="1" s="1"/>
  <c r="P442" i="1"/>
  <c r="Q442" i="1" s="1"/>
  <c r="R442" i="1" s="1"/>
  <c r="T442" i="1" s="1"/>
  <c r="P438" i="1"/>
  <c r="Q438" i="1" s="1"/>
  <c r="R438" i="1" s="1"/>
  <c r="T438" i="1" s="1"/>
  <c r="P434" i="1"/>
  <c r="S434" i="1" s="1"/>
  <c r="P430" i="1"/>
  <c r="S430" i="1" s="1"/>
  <c r="P426" i="1"/>
  <c r="S426" i="1" s="1"/>
  <c r="P422" i="1"/>
  <c r="S422" i="1" s="1"/>
  <c r="P418" i="1"/>
  <c r="S418" i="1" s="1"/>
  <c r="P414" i="1"/>
  <c r="S414" i="1" s="1"/>
  <c r="P410" i="1"/>
  <c r="S410" i="1" s="1"/>
  <c r="P406" i="1"/>
  <c r="Q406" i="1" s="1"/>
  <c r="R406" i="1" s="1"/>
  <c r="T406" i="1" s="1"/>
  <c r="P402" i="1"/>
  <c r="S402" i="1" s="1"/>
  <c r="P398" i="1"/>
  <c r="S398" i="1" s="1"/>
  <c r="P394" i="1"/>
  <c r="S394" i="1" s="1"/>
  <c r="P390" i="1"/>
  <c r="S390" i="1" s="1"/>
  <c r="P386" i="1"/>
  <c r="S386" i="1" s="1"/>
  <c r="P382" i="1"/>
  <c r="S382" i="1" s="1"/>
  <c r="P378" i="1"/>
  <c r="S378" i="1" s="1"/>
  <c r="P374" i="1"/>
  <c r="Q374" i="1" s="1"/>
  <c r="R374" i="1" s="1"/>
  <c r="T374" i="1" s="1"/>
  <c r="P370" i="1"/>
  <c r="S370" i="1" s="1"/>
  <c r="P366" i="1"/>
  <c r="S366" i="1" s="1"/>
  <c r="P362" i="1"/>
  <c r="S362" i="1" s="1"/>
  <c r="P358" i="1"/>
  <c r="S358" i="1" s="1"/>
  <c r="P354" i="1"/>
  <c r="S354" i="1" s="1"/>
  <c r="P350" i="1"/>
  <c r="S350" i="1" s="1"/>
  <c r="P346" i="1"/>
  <c r="S346" i="1" s="1"/>
  <c r="P342" i="1"/>
  <c r="Q342" i="1" s="1"/>
  <c r="R342" i="1" s="1"/>
  <c r="T342" i="1" s="1"/>
  <c r="P338" i="1"/>
  <c r="S338" i="1" s="1"/>
  <c r="P334" i="1"/>
  <c r="S334" i="1" s="1"/>
  <c r="P330" i="1"/>
  <c r="Q330" i="1" s="1"/>
  <c r="R330" i="1" s="1"/>
  <c r="T330" i="1" s="1"/>
  <c r="P326" i="1"/>
  <c r="S326" i="1" s="1"/>
  <c r="P322" i="1"/>
  <c r="S322" i="1" s="1"/>
  <c r="P318" i="1"/>
  <c r="S318" i="1" s="1"/>
  <c r="P314" i="1"/>
  <c r="Q314" i="1" s="1"/>
  <c r="R314" i="1" s="1"/>
  <c r="T314" i="1" s="1"/>
  <c r="P310" i="1"/>
  <c r="Q310" i="1" s="1"/>
  <c r="R310" i="1" s="1"/>
  <c r="T310" i="1" s="1"/>
  <c r="P306" i="1"/>
  <c r="S306" i="1" s="1"/>
  <c r="P302" i="1"/>
  <c r="S302" i="1" s="1"/>
  <c r="P298" i="1"/>
  <c r="S298" i="1" s="1"/>
  <c r="P294" i="1"/>
  <c r="S294" i="1" s="1"/>
  <c r="P290" i="1"/>
  <c r="S290" i="1" s="1"/>
  <c r="P286" i="1"/>
  <c r="S286" i="1" s="1"/>
  <c r="P282" i="1"/>
  <c r="S282" i="1" s="1"/>
  <c r="P278" i="1"/>
  <c r="Q278" i="1" s="1"/>
  <c r="R278" i="1" s="1"/>
  <c r="T278" i="1" s="1"/>
  <c r="P274" i="1"/>
  <c r="S274" i="1" s="1"/>
  <c r="P270" i="1"/>
  <c r="S270" i="1" s="1"/>
  <c r="P266" i="1"/>
  <c r="S266" i="1" s="1"/>
  <c r="P262" i="1"/>
  <c r="S262" i="1" s="1"/>
  <c r="P258" i="1"/>
  <c r="S258" i="1" s="1"/>
  <c r="P254" i="1"/>
  <c r="S254" i="1" s="1"/>
  <c r="P250" i="1"/>
  <c r="S250" i="1" s="1"/>
  <c r="P246" i="1"/>
  <c r="Q246" i="1" s="1"/>
  <c r="R246" i="1" s="1"/>
  <c r="T246" i="1" s="1"/>
  <c r="P242" i="1"/>
  <c r="S242" i="1" s="1"/>
  <c r="P238" i="1"/>
  <c r="S238" i="1" s="1"/>
  <c r="P234" i="1"/>
  <c r="S234" i="1" s="1"/>
  <c r="P230" i="1"/>
  <c r="S230" i="1" s="1"/>
  <c r="P226" i="1"/>
  <c r="S226" i="1" s="1"/>
  <c r="P222" i="1"/>
  <c r="S222" i="1" s="1"/>
  <c r="P218" i="1"/>
  <c r="S218" i="1" s="1"/>
  <c r="P214" i="1"/>
  <c r="Q214" i="1" s="1"/>
  <c r="R214" i="1" s="1"/>
  <c r="T214" i="1" s="1"/>
  <c r="P210" i="1"/>
  <c r="S210" i="1" s="1"/>
  <c r="P206" i="1"/>
  <c r="S206" i="1" s="1"/>
  <c r="P202" i="1"/>
  <c r="Q202" i="1" s="1"/>
  <c r="R202" i="1" s="1"/>
  <c r="T202" i="1" s="1"/>
  <c r="P198" i="1"/>
  <c r="S198" i="1" s="1"/>
  <c r="P194" i="1"/>
  <c r="S194" i="1" s="1"/>
  <c r="P190" i="1"/>
  <c r="S190" i="1" s="1"/>
  <c r="P186" i="1"/>
  <c r="Q186" i="1" s="1"/>
  <c r="R186" i="1" s="1"/>
  <c r="T186" i="1" s="1"/>
  <c r="P182" i="1"/>
  <c r="Q182" i="1" s="1"/>
  <c r="R182" i="1" s="1"/>
  <c r="T182" i="1" s="1"/>
  <c r="P178" i="1"/>
  <c r="S178" i="1" s="1"/>
  <c r="P174" i="1"/>
  <c r="S174" i="1" s="1"/>
  <c r="P170" i="1"/>
  <c r="S170" i="1" s="1"/>
  <c r="P166" i="1"/>
  <c r="S166" i="1" s="1"/>
  <c r="P162" i="1"/>
  <c r="S162" i="1" s="1"/>
  <c r="P158" i="1"/>
  <c r="S158" i="1" s="1"/>
  <c r="P154" i="1"/>
  <c r="S154" i="1" s="1"/>
  <c r="P150" i="1"/>
  <c r="Q150" i="1" s="1"/>
  <c r="R150" i="1" s="1"/>
  <c r="T150" i="1" s="1"/>
  <c r="P146" i="1"/>
  <c r="S146" i="1" s="1"/>
  <c r="P142" i="1"/>
  <c r="S142" i="1" s="1"/>
  <c r="P138" i="1"/>
  <c r="S138" i="1" s="1"/>
  <c r="P134" i="1"/>
  <c r="S134" i="1" s="1"/>
  <c r="P130" i="1"/>
  <c r="S130" i="1" s="1"/>
  <c r="P126" i="1"/>
  <c r="S126" i="1" s="1"/>
  <c r="P122" i="1"/>
  <c r="S122" i="1" s="1"/>
  <c r="P118" i="1"/>
  <c r="Q118" i="1" s="1"/>
  <c r="R118" i="1" s="1"/>
  <c r="T118" i="1" s="1"/>
  <c r="P114" i="1"/>
  <c r="Q114" i="1" s="1"/>
  <c r="R114" i="1" s="1"/>
  <c r="T114" i="1" s="1"/>
  <c r="P110" i="1"/>
  <c r="S110" i="1" s="1"/>
  <c r="P106" i="1"/>
  <c r="S106" i="1" s="1"/>
  <c r="P102" i="1"/>
  <c r="S102" i="1" s="1"/>
  <c r="P98" i="1"/>
  <c r="S98" i="1" s="1"/>
  <c r="P94" i="1"/>
  <c r="S94" i="1" s="1"/>
  <c r="P90" i="1"/>
  <c r="S90" i="1" s="1"/>
  <c r="P86" i="1"/>
  <c r="Q86" i="1" s="1"/>
  <c r="R86" i="1" s="1"/>
  <c r="T86" i="1" s="1"/>
  <c r="P82" i="1"/>
  <c r="Q82" i="1" s="1"/>
  <c r="R82" i="1" s="1"/>
  <c r="T82" i="1" s="1"/>
  <c r="P78" i="1"/>
  <c r="S78" i="1" s="1"/>
  <c r="P74" i="1"/>
  <c r="Q74" i="1" s="1"/>
  <c r="R74" i="1" s="1"/>
  <c r="T74" i="1" s="1"/>
  <c r="P70" i="1"/>
  <c r="S70" i="1" s="1"/>
  <c r="P66" i="1"/>
  <c r="S66" i="1" s="1"/>
  <c r="P62" i="1"/>
  <c r="S62" i="1" s="1"/>
  <c r="P58" i="1"/>
  <c r="S58" i="1" s="1"/>
  <c r="P54" i="1"/>
  <c r="S54" i="1" s="1"/>
  <c r="P50" i="1"/>
  <c r="S50" i="1" s="1"/>
  <c r="P46" i="1"/>
  <c r="S46" i="1" s="1"/>
  <c r="P42" i="1"/>
  <c r="S42" i="1" s="1"/>
  <c r="P38" i="1"/>
  <c r="S38" i="1" s="1"/>
  <c r="P34" i="1"/>
  <c r="S34" i="1" s="1"/>
  <c r="P964" i="1"/>
  <c r="Q964" i="1" s="1"/>
  <c r="R964" i="1" s="1"/>
  <c r="P564" i="1"/>
  <c r="Q564" i="1" s="1"/>
  <c r="R564" i="1" s="1"/>
  <c r="T564" i="1" s="1"/>
  <c r="P556" i="1"/>
  <c r="P544" i="1"/>
  <c r="P536" i="1"/>
  <c r="P524" i="1"/>
  <c r="P508" i="1"/>
  <c r="P568" i="1"/>
  <c r="P548" i="1"/>
  <c r="P532" i="1"/>
  <c r="P516" i="1"/>
  <c r="P1238" i="1"/>
  <c r="Q1238" i="1" s="1"/>
  <c r="P1222" i="1"/>
  <c r="Q1222" i="1" s="1"/>
  <c r="P1206" i="1"/>
  <c r="Q1206" i="1" s="1"/>
  <c r="P572" i="1"/>
  <c r="Q572" i="1" s="1"/>
  <c r="R572" i="1" s="1"/>
  <c r="T572" i="1" s="1"/>
  <c r="P560" i="1"/>
  <c r="P552" i="1"/>
  <c r="P540" i="1"/>
  <c r="P528" i="1"/>
  <c r="P520" i="1"/>
  <c r="P512" i="1"/>
  <c r="P590" i="1"/>
  <c r="Q590" i="1" s="1"/>
  <c r="R590" i="1" s="1"/>
  <c r="T590" i="1" s="1"/>
  <c r="P574" i="1"/>
  <c r="Q574" i="1" s="1"/>
  <c r="R574" i="1" s="1"/>
  <c r="T574" i="1" s="1"/>
  <c r="P570" i="1"/>
  <c r="Q570" i="1" s="1"/>
  <c r="R570" i="1" s="1"/>
  <c r="T570" i="1" s="1"/>
  <c r="P566" i="1"/>
  <c r="P562" i="1"/>
  <c r="P558" i="1"/>
  <c r="P554" i="1"/>
  <c r="P550" i="1"/>
  <c r="P546" i="1"/>
  <c r="P542" i="1"/>
  <c r="P538" i="1"/>
  <c r="P534" i="1"/>
  <c r="P530" i="1"/>
  <c r="P526" i="1"/>
  <c r="Q526" i="1" s="1"/>
  <c r="R526" i="1" s="1"/>
  <c r="T526" i="1" s="1"/>
  <c r="P522" i="1"/>
  <c r="P518" i="1"/>
  <c r="P514" i="1"/>
  <c r="P510" i="1"/>
  <c r="P506" i="1"/>
  <c r="P500" i="1"/>
  <c r="S500" i="1" s="1"/>
  <c r="P496" i="1"/>
  <c r="S496" i="1" s="1"/>
  <c r="P492" i="1"/>
  <c r="Q492" i="1" s="1"/>
  <c r="R492" i="1" s="1"/>
  <c r="T492" i="1" s="1"/>
  <c r="P488" i="1"/>
  <c r="S488" i="1" s="1"/>
  <c r="P484" i="1"/>
  <c r="S484" i="1" s="1"/>
  <c r="P480" i="1"/>
  <c r="S480" i="1" s="1"/>
  <c r="P476" i="1"/>
  <c r="S476" i="1" s="1"/>
  <c r="P472" i="1"/>
  <c r="S472" i="1" s="1"/>
  <c r="P468" i="1"/>
  <c r="Q468" i="1" s="1"/>
  <c r="R468" i="1" s="1"/>
  <c r="T468" i="1" s="1"/>
  <c r="P464" i="1"/>
  <c r="S464" i="1" s="1"/>
  <c r="P460" i="1"/>
  <c r="S460" i="1" s="1"/>
  <c r="P456" i="1"/>
  <c r="S456" i="1" s="1"/>
  <c r="P452" i="1"/>
  <c r="Q452" i="1" s="1"/>
  <c r="R452" i="1" s="1"/>
  <c r="T452" i="1" s="1"/>
  <c r="P448" i="1"/>
  <c r="S448" i="1" s="1"/>
  <c r="P444" i="1"/>
  <c r="S444" i="1" s="1"/>
  <c r="P440" i="1"/>
  <c r="S440" i="1" s="1"/>
  <c r="P436" i="1"/>
  <c r="S436" i="1" s="1"/>
  <c r="P432" i="1"/>
  <c r="S432" i="1" s="1"/>
  <c r="P428" i="1"/>
  <c r="S428" i="1" s="1"/>
  <c r="P424" i="1"/>
  <c r="S424" i="1" s="1"/>
  <c r="P420" i="1"/>
  <c r="S420" i="1" s="1"/>
  <c r="P416" i="1"/>
  <c r="Q416" i="1" s="1"/>
  <c r="R416" i="1" s="1"/>
  <c r="T416" i="1" s="1"/>
  <c r="P412" i="1"/>
  <c r="S412" i="1" s="1"/>
  <c r="P408" i="1"/>
  <c r="S408" i="1" s="1"/>
  <c r="P404" i="1"/>
  <c r="S404" i="1" s="1"/>
  <c r="P400" i="1"/>
  <c r="S400" i="1" s="1"/>
  <c r="P396" i="1"/>
  <c r="S396" i="1" s="1"/>
  <c r="P392" i="1"/>
  <c r="S392" i="1" s="1"/>
  <c r="P388" i="1"/>
  <c r="S388" i="1" s="1"/>
  <c r="P384" i="1"/>
  <c r="Q384" i="1" s="1"/>
  <c r="R384" i="1" s="1"/>
  <c r="T384" i="1" s="1"/>
  <c r="P380" i="1"/>
  <c r="Q380" i="1" s="1"/>
  <c r="R380" i="1" s="1"/>
  <c r="T380" i="1" s="1"/>
  <c r="P376" i="1"/>
  <c r="S376" i="1" s="1"/>
  <c r="P372" i="1"/>
  <c r="Q372" i="1" s="1"/>
  <c r="R372" i="1" s="1"/>
  <c r="T372" i="1" s="1"/>
  <c r="P368" i="1"/>
  <c r="S368" i="1" s="1"/>
  <c r="P364" i="1"/>
  <c r="S364" i="1" s="1"/>
  <c r="P360" i="1"/>
  <c r="S360" i="1" s="1"/>
  <c r="P356" i="1"/>
  <c r="Q356" i="1" s="1"/>
  <c r="R356" i="1" s="1"/>
  <c r="T356" i="1" s="1"/>
  <c r="P352" i="1"/>
  <c r="Q352" i="1" s="1"/>
  <c r="R352" i="1" s="1"/>
  <c r="T352" i="1" s="1"/>
  <c r="P348" i="1"/>
  <c r="Q348" i="1" s="1"/>
  <c r="R348" i="1" s="1"/>
  <c r="T348" i="1" s="1"/>
  <c r="P344" i="1"/>
  <c r="S344" i="1" s="1"/>
  <c r="P340" i="1"/>
  <c r="S340" i="1" s="1"/>
  <c r="P336" i="1"/>
  <c r="S336" i="1" s="1"/>
  <c r="P332" i="1"/>
  <c r="S332" i="1" s="1"/>
  <c r="P328" i="1"/>
  <c r="S328" i="1" s="1"/>
  <c r="P324" i="1"/>
  <c r="S324" i="1" s="1"/>
  <c r="P320" i="1"/>
  <c r="S320" i="1" s="1"/>
  <c r="P316" i="1"/>
  <c r="S316" i="1" s="1"/>
  <c r="P312" i="1"/>
  <c r="S312" i="1" s="1"/>
  <c r="P308" i="1"/>
  <c r="S308" i="1" s="1"/>
  <c r="P304" i="1"/>
  <c r="Q304" i="1" s="1"/>
  <c r="R304" i="1" s="1"/>
  <c r="T304" i="1" s="1"/>
  <c r="P300" i="1"/>
  <c r="S300" i="1" s="1"/>
  <c r="P296" i="1"/>
  <c r="S296" i="1" s="1"/>
  <c r="P292" i="1"/>
  <c r="Q292" i="1" s="1"/>
  <c r="R292" i="1" s="1"/>
  <c r="T292" i="1" s="1"/>
  <c r="P288" i="1"/>
  <c r="S288" i="1" s="1"/>
  <c r="P284" i="1"/>
  <c r="S284" i="1" s="1"/>
  <c r="P280" i="1"/>
  <c r="S280" i="1" s="1"/>
  <c r="P276" i="1"/>
  <c r="S276" i="1" s="1"/>
  <c r="P272" i="1"/>
  <c r="S272" i="1" s="1"/>
  <c r="P268" i="1"/>
  <c r="Q268" i="1" s="1"/>
  <c r="R268" i="1" s="1"/>
  <c r="T268" i="1" s="1"/>
  <c r="P264" i="1"/>
  <c r="S264" i="1" s="1"/>
  <c r="P260" i="1"/>
  <c r="S260" i="1" s="1"/>
  <c r="P256" i="1"/>
  <c r="S256" i="1" s="1"/>
  <c r="P252" i="1"/>
  <c r="S252" i="1" s="1"/>
  <c r="P248" i="1"/>
  <c r="S248" i="1" s="1"/>
  <c r="P244" i="1"/>
  <c r="S244" i="1" s="1"/>
  <c r="P240" i="1"/>
  <c r="S240" i="1" s="1"/>
  <c r="P236" i="1"/>
  <c r="Q236" i="1" s="1"/>
  <c r="R236" i="1" s="1"/>
  <c r="T236" i="1" s="1"/>
  <c r="P232" i="1"/>
  <c r="S232" i="1" s="1"/>
  <c r="P228" i="1"/>
  <c r="S228" i="1" s="1"/>
  <c r="P224" i="1"/>
  <c r="S224" i="1" s="1"/>
  <c r="P220" i="1"/>
  <c r="S220" i="1" s="1"/>
  <c r="P216" i="1"/>
  <c r="S216" i="1" s="1"/>
  <c r="P212" i="1"/>
  <c r="Q212" i="1" s="1"/>
  <c r="R212" i="1" s="1"/>
  <c r="T212" i="1" s="1"/>
  <c r="P208" i="1"/>
  <c r="S208" i="1" s="1"/>
  <c r="P204" i="1"/>
  <c r="S204" i="1" s="1"/>
  <c r="P200" i="1"/>
  <c r="S200" i="1" s="1"/>
  <c r="P196" i="1"/>
  <c r="Q196" i="1" s="1"/>
  <c r="R196" i="1" s="1"/>
  <c r="T196" i="1" s="1"/>
  <c r="P192" i="1"/>
  <c r="S192" i="1" s="1"/>
  <c r="P188" i="1"/>
  <c r="S188" i="1" s="1"/>
  <c r="P184" i="1"/>
  <c r="S184" i="1" s="1"/>
  <c r="P180" i="1"/>
  <c r="S180" i="1" s="1"/>
  <c r="P176" i="1"/>
  <c r="S176" i="1" s="1"/>
  <c r="P172" i="1"/>
  <c r="S172" i="1" s="1"/>
  <c r="P168" i="1"/>
  <c r="S168" i="1" s="1"/>
  <c r="P164" i="1"/>
  <c r="S164" i="1" s="1"/>
  <c r="P160" i="1"/>
  <c r="S160" i="1" s="1"/>
  <c r="P156" i="1"/>
  <c r="S156" i="1" s="1"/>
  <c r="P152" i="1"/>
  <c r="S152" i="1" s="1"/>
  <c r="P148" i="1"/>
  <c r="S148" i="1" s="1"/>
  <c r="P144" i="1"/>
  <c r="S144" i="1" s="1"/>
  <c r="P140" i="1"/>
  <c r="S140" i="1" s="1"/>
  <c r="P136" i="1"/>
  <c r="S136" i="1" s="1"/>
  <c r="P132" i="1"/>
  <c r="S132" i="1" s="1"/>
  <c r="P128" i="1"/>
  <c r="Q128" i="1" s="1"/>
  <c r="R128" i="1" s="1"/>
  <c r="T128" i="1" s="1"/>
  <c r="P124" i="1"/>
  <c r="Q124" i="1" s="1"/>
  <c r="R124" i="1" s="1"/>
  <c r="T124" i="1" s="1"/>
  <c r="P120" i="1"/>
  <c r="S120" i="1" s="1"/>
  <c r="P116" i="1"/>
  <c r="Q116" i="1" s="1"/>
  <c r="R116" i="1" s="1"/>
  <c r="T116" i="1" s="1"/>
  <c r="P112" i="1"/>
  <c r="S112" i="1" s="1"/>
  <c r="P108" i="1"/>
  <c r="S108" i="1" s="1"/>
  <c r="P104" i="1"/>
  <c r="S104" i="1" s="1"/>
  <c r="P100" i="1"/>
  <c r="Q100" i="1" s="1"/>
  <c r="R100" i="1" s="1"/>
  <c r="T100" i="1" s="1"/>
  <c r="P96" i="1"/>
  <c r="Q96" i="1" s="1"/>
  <c r="R96" i="1" s="1"/>
  <c r="T96" i="1" s="1"/>
  <c r="P92" i="1"/>
  <c r="Q92" i="1" s="1"/>
  <c r="R92" i="1" s="1"/>
  <c r="T92" i="1" s="1"/>
  <c r="P88" i="1"/>
  <c r="S88" i="1" s="1"/>
  <c r="P84" i="1"/>
  <c r="S84" i="1" s="1"/>
  <c r="P80" i="1"/>
  <c r="S80" i="1" s="1"/>
  <c r="P76" i="1"/>
  <c r="S76" i="1" s="1"/>
  <c r="P72" i="1"/>
  <c r="S72" i="1" s="1"/>
  <c r="P68" i="1"/>
  <c r="S68" i="1" s="1"/>
  <c r="P64" i="1"/>
  <c r="Q64" i="1" s="1"/>
  <c r="R64" i="1" s="1"/>
  <c r="T64" i="1" s="1"/>
  <c r="P60" i="1"/>
  <c r="S60" i="1" s="1"/>
  <c r="P56" i="1"/>
  <c r="Q56" i="1" s="1"/>
  <c r="R56" i="1" s="1"/>
  <c r="T56" i="1" s="1"/>
  <c r="P52" i="1"/>
  <c r="Q52" i="1" s="1"/>
  <c r="R52" i="1" s="1"/>
  <c r="T52" i="1" s="1"/>
  <c r="P48" i="1"/>
  <c r="Q48" i="1" s="1"/>
  <c r="R48" i="1" s="1"/>
  <c r="T48" i="1" s="1"/>
  <c r="P44" i="1"/>
  <c r="S44" i="1" s="1"/>
  <c r="P40" i="1"/>
  <c r="Q40" i="1" s="1"/>
  <c r="R40" i="1" s="1"/>
  <c r="T40" i="1" s="1"/>
  <c r="P36" i="1"/>
  <c r="S36" i="1" s="1"/>
  <c r="P32" i="1"/>
  <c r="S32" i="1" s="1"/>
  <c r="Q11" i="1"/>
  <c r="R11" i="1" s="1"/>
  <c r="T11" i="1" s="1"/>
  <c r="P1132" i="1"/>
  <c r="Q1132" i="1" s="1"/>
  <c r="P501" i="1"/>
  <c r="Q501" i="1" s="1"/>
  <c r="R501" i="1" s="1"/>
  <c r="T501" i="1" s="1"/>
  <c r="P497" i="1"/>
  <c r="S497" i="1" s="1"/>
  <c r="P493" i="1"/>
  <c r="S493" i="1" s="1"/>
  <c r="P489" i="1"/>
  <c r="S489" i="1" s="1"/>
  <c r="P485" i="1"/>
  <c r="S485" i="1" s="1"/>
  <c r="P481" i="1"/>
  <c r="S481" i="1" s="1"/>
  <c r="P477" i="1"/>
  <c r="S477" i="1" s="1"/>
  <c r="P473" i="1"/>
  <c r="Q473" i="1" s="1"/>
  <c r="R473" i="1" s="1"/>
  <c r="T473" i="1" s="1"/>
  <c r="P469" i="1"/>
  <c r="Q469" i="1" s="1"/>
  <c r="R469" i="1" s="1"/>
  <c r="T469" i="1" s="1"/>
  <c r="P465" i="1"/>
  <c r="S465" i="1" s="1"/>
  <c r="P461" i="1"/>
  <c r="S461" i="1" s="1"/>
  <c r="P457" i="1"/>
  <c r="S457" i="1" s="1"/>
  <c r="P453" i="1"/>
  <c r="S453" i="1" s="1"/>
  <c r="P449" i="1"/>
  <c r="S449" i="1" s="1"/>
  <c r="P445" i="1"/>
  <c r="S445" i="1" s="1"/>
  <c r="P441" i="1"/>
  <c r="Q441" i="1" s="1"/>
  <c r="R441" i="1" s="1"/>
  <c r="T441" i="1" s="1"/>
  <c r="P437" i="1"/>
  <c r="Q437" i="1" s="1"/>
  <c r="R437" i="1" s="1"/>
  <c r="T437" i="1" s="1"/>
  <c r="P433" i="1"/>
  <c r="S433" i="1" s="1"/>
  <c r="P429" i="1"/>
  <c r="S429" i="1" s="1"/>
  <c r="P425" i="1"/>
  <c r="S425" i="1" s="1"/>
  <c r="P421" i="1"/>
  <c r="S421" i="1" s="1"/>
  <c r="P417" i="1"/>
  <c r="S417" i="1" s="1"/>
  <c r="P413" i="1"/>
  <c r="S413" i="1" s="1"/>
  <c r="P409" i="1"/>
  <c r="Q409" i="1" s="1"/>
  <c r="R409" i="1" s="1"/>
  <c r="T409" i="1" s="1"/>
  <c r="P405" i="1"/>
  <c r="Q405" i="1" s="1"/>
  <c r="R405" i="1" s="1"/>
  <c r="T405" i="1" s="1"/>
  <c r="P401" i="1"/>
  <c r="S401" i="1" s="1"/>
  <c r="P397" i="1"/>
  <c r="Q397" i="1" s="1"/>
  <c r="R397" i="1" s="1"/>
  <c r="T397" i="1" s="1"/>
  <c r="P393" i="1"/>
  <c r="S393" i="1" s="1"/>
  <c r="P389" i="1"/>
  <c r="S389" i="1" s="1"/>
  <c r="P385" i="1"/>
  <c r="S385" i="1" s="1"/>
  <c r="P381" i="1"/>
  <c r="Q381" i="1" s="1"/>
  <c r="R381" i="1" s="1"/>
  <c r="T381" i="1" s="1"/>
  <c r="P377" i="1"/>
  <c r="Q377" i="1" s="1"/>
  <c r="R377" i="1" s="1"/>
  <c r="T377" i="1" s="1"/>
  <c r="P373" i="1"/>
  <c r="Q373" i="1" s="1"/>
  <c r="R373" i="1" s="1"/>
  <c r="T373" i="1" s="1"/>
  <c r="P369" i="1"/>
  <c r="S369" i="1" s="1"/>
  <c r="P365" i="1"/>
  <c r="S365" i="1" s="1"/>
  <c r="P361" i="1"/>
  <c r="S361" i="1" s="1"/>
  <c r="P357" i="1"/>
  <c r="S357" i="1" s="1"/>
  <c r="P353" i="1"/>
  <c r="S353" i="1" s="1"/>
  <c r="P349" i="1"/>
  <c r="S349" i="1" s="1"/>
  <c r="P345" i="1"/>
  <c r="Q345" i="1" s="1"/>
  <c r="R345" i="1" s="1"/>
  <c r="T345" i="1" s="1"/>
  <c r="P341" i="1"/>
  <c r="Q341" i="1" s="1"/>
  <c r="R341" i="1" s="1"/>
  <c r="T341" i="1" s="1"/>
  <c r="P337" i="1"/>
  <c r="S337" i="1" s="1"/>
  <c r="P333" i="1"/>
  <c r="S333" i="1" s="1"/>
  <c r="P329" i="1"/>
  <c r="S329" i="1" s="1"/>
  <c r="P325" i="1"/>
  <c r="S325" i="1" s="1"/>
  <c r="P321" i="1"/>
  <c r="S321" i="1" s="1"/>
  <c r="P317" i="1"/>
  <c r="S317" i="1" s="1"/>
  <c r="P313" i="1"/>
  <c r="Q313" i="1" s="1"/>
  <c r="R313" i="1" s="1"/>
  <c r="T313" i="1" s="1"/>
  <c r="P309" i="1"/>
  <c r="Q309" i="1" s="1"/>
  <c r="R309" i="1" s="1"/>
  <c r="T309" i="1" s="1"/>
  <c r="P305" i="1"/>
  <c r="S305" i="1" s="1"/>
  <c r="P301" i="1"/>
  <c r="S301" i="1" s="1"/>
  <c r="P297" i="1"/>
  <c r="S297" i="1" s="1"/>
  <c r="P293" i="1"/>
  <c r="S293" i="1" s="1"/>
  <c r="P289" i="1"/>
  <c r="S289" i="1" s="1"/>
  <c r="P285" i="1"/>
  <c r="S285" i="1" s="1"/>
  <c r="P281" i="1"/>
  <c r="Q281" i="1" s="1"/>
  <c r="R281" i="1" s="1"/>
  <c r="T281" i="1" s="1"/>
  <c r="P277" i="1"/>
  <c r="Q277" i="1" s="1"/>
  <c r="R277" i="1" s="1"/>
  <c r="T277" i="1" s="1"/>
  <c r="P273" i="1"/>
  <c r="S273" i="1" s="1"/>
  <c r="P269" i="1"/>
  <c r="Q269" i="1" s="1"/>
  <c r="R269" i="1" s="1"/>
  <c r="T269" i="1" s="1"/>
  <c r="P265" i="1"/>
  <c r="S265" i="1" s="1"/>
  <c r="P261" i="1"/>
  <c r="S261" i="1" s="1"/>
  <c r="P257" i="1"/>
  <c r="S257" i="1" s="1"/>
  <c r="P253" i="1"/>
  <c r="Q253" i="1" s="1"/>
  <c r="R253" i="1" s="1"/>
  <c r="T253" i="1" s="1"/>
  <c r="P249" i="1"/>
  <c r="Q249" i="1" s="1"/>
  <c r="R249" i="1" s="1"/>
  <c r="T249" i="1" s="1"/>
  <c r="P245" i="1"/>
  <c r="Q245" i="1" s="1"/>
  <c r="R245" i="1" s="1"/>
  <c r="T245" i="1" s="1"/>
  <c r="P241" i="1"/>
  <c r="S241" i="1" s="1"/>
  <c r="P237" i="1"/>
  <c r="S237" i="1" s="1"/>
  <c r="P233" i="1"/>
  <c r="S233" i="1" s="1"/>
  <c r="P229" i="1"/>
  <c r="S229" i="1" s="1"/>
  <c r="P225" i="1"/>
  <c r="S225" i="1" s="1"/>
  <c r="P221" i="1"/>
  <c r="S221" i="1" s="1"/>
  <c r="P217" i="1"/>
  <c r="Q217" i="1" s="1"/>
  <c r="R217" i="1" s="1"/>
  <c r="T217" i="1" s="1"/>
  <c r="P213" i="1"/>
  <c r="Q213" i="1" s="1"/>
  <c r="R213" i="1" s="1"/>
  <c r="T213" i="1" s="1"/>
  <c r="P209" i="1"/>
  <c r="S209" i="1" s="1"/>
  <c r="P205" i="1"/>
  <c r="S205" i="1" s="1"/>
  <c r="P201" i="1"/>
  <c r="S201" i="1" s="1"/>
  <c r="P197" i="1"/>
  <c r="S197" i="1" s="1"/>
  <c r="P193" i="1"/>
  <c r="S193" i="1" s="1"/>
  <c r="P189" i="1"/>
  <c r="S189" i="1" s="1"/>
  <c r="P185" i="1"/>
  <c r="Q185" i="1" s="1"/>
  <c r="R185" i="1" s="1"/>
  <c r="T185" i="1" s="1"/>
  <c r="P181" i="1"/>
  <c r="Q181" i="1" s="1"/>
  <c r="R181" i="1" s="1"/>
  <c r="T181" i="1" s="1"/>
  <c r="P177" i="1"/>
  <c r="S177" i="1" s="1"/>
  <c r="P173" i="1"/>
  <c r="S173" i="1" s="1"/>
  <c r="P169" i="1"/>
  <c r="S169" i="1" s="1"/>
  <c r="P165" i="1"/>
  <c r="S165" i="1" s="1"/>
  <c r="P161" i="1"/>
  <c r="S161" i="1" s="1"/>
  <c r="P157" i="1"/>
  <c r="S157" i="1" s="1"/>
  <c r="P153" i="1"/>
  <c r="Q153" i="1" s="1"/>
  <c r="R153" i="1" s="1"/>
  <c r="T153" i="1" s="1"/>
  <c r="P149" i="1"/>
  <c r="Q149" i="1" s="1"/>
  <c r="R149" i="1" s="1"/>
  <c r="T149" i="1" s="1"/>
  <c r="P145" i="1"/>
  <c r="S145" i="1" s="1"/>
  <c r="P141" i="1"/>
  <c r="Q141" i="1" s="1"/>
  <c r="R141" i="1" s="1"/>
  <c r="T141" i="1" s="1"/>
  <c r="P137" i="1"/>
  <c r="S137" i="1" s="1"/>
  <c r="P133" i="1"/>
  <c r="S133" i="1" s="1"/>
  <c r="P129" i="1"/>
  <c r="S129" i="1" s="1"/>
  <c r="P125" i="1"/>
  <c r="Q125" i="1" s="1"/>
  <c r="R125" i="1" s="1"/>
  <c r="T125" i="1" s="1"/>
  <c r="P121" i="1"/>
  <c r="Q121" i="1" s="1"/>
  <c r="R121" i="1" s="1"/>
  <c r="T121" i="1" s="1"/>
  <c r="P117" i="1"/>
  <c r="Q117" i="1" s="1"/>
  <c r="R117" i="1" s="1"/>
  <c r="T117" i="1" s="1"/>
  <c r="P113" i="1"/>
  <c r="S113" i="1" s="1"/>
  <c r="P109" i="1"/>
  <c r="S109" i="1" s="1"/>
  <c r="P105" i="1"/>
  <c r="S105" i="1" s="1"/>
  <c r="P101" i="1"/>
  <c r="S101" i="1" s="1"/>
  <c r="P97" i="1"/>
  <c r="S97" i="1" s="1"/>
  <c r="P93" i="1"/>
  <c r="S93" i="1" s="1"/>
  <c r="P89" i="1"/>
  <c r="Q89" i="1" s="1"/>
  <c r="R89" i="1" s="1"/>
  <c r="T89" i="1" s="1"/>
  <c r="P85" i="1"/>
  <c r="Q85" i="1" s="1"/>
  <c r="R85" i="1" s="1"/>
  <c r="T85" i="1" s="1"/>
  <c r="P81" i="1"/>
  <c r="S81" i="1" s="1"/>
  <c r="P77" i="1"/>
  <c r="S77" i="1" s="1"/>
  <c r="P73" i="1"/>
  <c r="S73" i="1" s="1"/>
  <c r="P69" i="1"/>
  <c r="S69" i="1" s="1"/>
  <c r="P65" i="1"/>
  <c r="S65" i="1" s="1"/>
  <c r="P61" i="1"/>
  <c r="S61" i="1" s="1"/>
  <c r="P57" i="1"/>
  <c r="S57" i="1" s="1"/>
  <c r="P53" i="1"/>
  <c r="S53" i="1" s="1"/>
  <c r="P49" i="1"/>
  <c r="S49" i="1" s="1"/>
  <c r="P45" i="1"/>
  <c r="S45" i="1" s="1"/>
  <c r="P41" i="1"/>
  <c r="S41" i="1" s="1"/>
  <c r="P37" i="1"/>
  <c r="S37" i="1" s="1"/>
  <c r="P33" i="1"/>
  <c r="S33" i="1" s="1"/>
  <c r="Q431" i="1"/>
  <c r="R431" i="1" s="1"/>
  <c r="T431" i="1" s="1"/>
  <c r="S423" i="1"/>
  <c r="S391" i="1"/>
  <c r="Q347" i="1"/>
  <c r="R347" i="1" s="1"/>
  <c r="T347" i="1" s="1"/>
  <c r="Q315" i="1"/>
  <c r="R315" i="1" s="1"/>
  <c r="T315" i="1" s="1"/>
  <c r="S179" i="1"/>
  <c r="Q151" i="1"/>
  <c r="R151" i="1" s="1"/>
  <c r="T151" i="1" s="1"/>
  <c r="Q147" i="1"/>
  <c r="R147" i="1" s="1"/>
  <c r="T147" i="1" s="1"/>
  <c r="P505" i="1"/>
  <c r="P1220" i="1"/>
  <c r="Q1220" i="1" s="1"/>
  <c r="P575" i="1"/>
  <c r="Q575" i="1" s="1"/>
  <c r="R575" i="1" s="1"/>
  <c r="T575" i="1" s="1"/>
  <c r="P571" i="1"/>
  <c r="Q571" i="1" s="1"/>
  <c r="R571" i="1" s="1"/>
  <c r="T571" i="1" s="1"/>
  <c r="P567" i="1"/>
  <c r="P563" i="1"/>
  <c r="P559" i="1"/>
  <c r="P555" i="1"/>
  <c r="P551" i="1"/>
  <c r="P547" i="1"/>
  <c r="P543" i="1"/>
  <c r="P539" i="1"/>
  <c r="P535" i="1"/>
  <c r="P531" i="1"/>
  <c r="P527" i="1"/>
  <c r="P523" i="1"/>
  <c r="P519" i="1"/>
  <c r="P515" i="1"/>
  <c r="P511" i="1"/>
  <c r="P507" i="1"/>
  <c r="P1232" i="1"/>
  <c r="Q1232" i="1" s="1"/>
  <c r="P504" i="1"/>
  <c r="S504" i="1" s="1"/>
  <c r="P1239" i="1"/>
  <c r="Q1239" i="1" s="1"/>
  <c r="P1211" i="1"/>
  <c r="Q1211" i="1" s="1"/>
  <c r="P1243" i="1"/>
  <c r="Q1243" i="1" s="1"/>
  <c r="P1235" i="1"/>
  <c r="Q1235" i="1" s="1"/>
  <c r="P1231" i="1"/>
  <c r="Q1231" i="1" s="1"/>
  <c r="P1227" i="1"/>
  <c r="Q1227" i="1" s="1"/>
  <c r="P1223" i="1"/>
  <c r="Q1223" i="1" s="1"/>
  <c r="P1219" i="1"/>
  <c r="Q1219" i="1" s="1"/>
  <c r="P1215" i="1"/>
  <c r="Q1215" i="1" s="1"/>
  <c r="P1207" i="1"/>
  <c r="Q1207" i="1" s="1"/>
  <c r="P1203" i="1"/>
  <c r="Q1203" i="1" s="1"/>
  <c r="P1198" i="1"/>
  <c r="Q1198" i="1" s="1"/>
  <c r="P1194" i="1"/>
  <c r="Q1194" i="1" s="1"/>
  <c r="P1190" i="1"/>
  <c r="Q1190" i="1" s="1"/>
  <c r="P1186" i="1"/>
  <c r="Q1186" i="1" s="1"/>
  <c r="P1182" i="1"/>
  <c r="Q1182" i="1" s="1"/>
  <c r="P1178" i="1"/>
  <c r="Q1178" i="1" s="1"/>
  <c r="P1174" i="1"/>
  <c r="Q1174" i="1" s="1"/>
  <c r="P1170" i="1"/>
  <c r="Q1170" i="1" s="1"/>
  <c r="P1166" i="1"/>
  <c r="Q1166" i="1" s="1"/>
  <c r="P1162" i="1"/>
  <c r="Q1162" i="1" s="1"/>
  <c r="P1158" i="1"/>
  <c r="Q1158" i="1" s="1"/>
  <c r="P1154" i="1"/>
  <c r="Q1154" i="1" s="1"/>
  <c r="P1150" i="1"/>
  <c r="Q1150" i="1" s="1"/>
  <c r="P1146" i="1"/>
  <c r="Q1146" i="1" s="1"/>
  <c r="P1142" i="1"/>
  <c r="Q1142" i="1" s="1"/>
  <c r="P1138" i="1"/>
  <c r="Q1138" i="1" s="1"/>
  <c r="P1134" i="1"/>
  <c r="Q1134" i="1" s="1"/>
  <c r="P1130" i="1"/>
  <c r="Q1130" i="1" s="1"/>
  <c r="P1126" i="1"/>
  <c r="Q1126" i="1" s="1"/>
  <c r="P1122" i="1"/>
  <c r="Q1122" i="1" s="1"/>
  <c r="P1118" i="1"/>
  <c r="Q1118" i="1" s="1"/>
  <c r="P1114" i="1"/>
  <c r="Q1114" i="1" s="1"/>
  <c r="P1110" i="1"/>
  <c r="Q1110" i="1" s="1"/>
  <c r="P1106" i="1"/>
  <c r="Q1106" i="1" s="1"/>
  <c r="P1102" i="1"/>
  <c r="Q1102" i="1" s="1"/>
  <c r="P1098" i="1"/>
  <c r="Q1098" i="1" s="1"/>
  <c r="P1094" i="1"/>
  <c r="Q1094" i="1" s="1"/>
  <c r="P1090" i="1"/>
  <c r="Q1090" i="1" s="1"/>
  <c r="P1086" i="1"/>
  <c r="Q1086" i="1" s="1"/>
  <c r="P1082" i="1"/>
  <c r="Q1082" i="1" s="1"/>
  <c r="P1078" i="1"/>
  <c r="Q1078" i="1" s="1"/>
  <c r="P1074" i="1"/>
  <c r="Q1074" i="1" s="1"/>
  <c r="P1070" i="1"/>
  <c r="Q1070" i="1" s="1"/>
  <c r="P1066" i="1"/>
  <c r="Q1066" i="1" s="1"/>
  <c r="P1062" i="1"/>
  <c r="Q1062" i="1" s="1"/>
  <c r="P1058" i="1"/>
  <c r="Q1058" i="1" s="1"/>
  <c r="P1054" i="1"/>
  <c r="Q1054" i="1" s="1"/>
  <c r="P1050" i="1"/>
  <c r="Q1050" i="1" s="1"/>
  <c r="P1046" i="1"/>
  <c r="Q1046" i="1" s="1"/>
  <c r="P1042" i="1"/>
  <c r="Q1042" i="1" s="1"/>
  <c r="P1038" i="1"/>
  <c r="Q1038" i="1" s="1"/>
  <c r="P1034" i="1"/>
  <c r="Q1034" i="1" s="1"/>
  <c r="P1030" i="1"/>
  <c r="Q1030" i="1" s="1"/>
  <c r="P1026" i="1"/>
  <c r="Q1026" i="1" s="1"/>
  <c r="P1022" i="1"/>
  <c r="Q1022" i="1" s="1"/>
  <c r="P1018" i="1"/>
  <c r="Q1018" i="1" s="1"/>
  <c r="R1018" i="1" s="1"/>
  <c r="P1014" i="1"/>
  <c r="Q1014" i="1" s="1"/>
  <c r="R1014" i="1" s="1"/>
  <c r="P1010" i="1"/>
  <c r="Q1010" i="1" s="1"/>
  <c r="R1010" i="1" s="1"/>
  <c r="P1006" i="1"/>
  <c r="Q1006" i="1" s="1"/>
  <c r="R1006" i="1" s="1"/>
  <c r="P1002" i="1"/>
  <c r="Q1002" i="1" s="1"/>
  <c r="R1002" i="1" s="1"/>
  <c r="P994" i="1"/>
  <c r="Q994" i="1" s="1"/>
  <c r="R994" i="1" s="1"/>
  <c r="P990" i="1"/>
  <c r="Q990" i="1" s="1"/>
  <c r="R990" i="1" s="1"/>
  <c r="P986" i="1"/>
  <c r="Q986" i="1" s="1"/>
  <c r="R986" i="1" s="1"/>
  <c r="P982" i="1"/>
  <c r="Q982" i="1" s="1"/>
  <c r="R982" i="1" s="1"/>
  <c r="P978" i="1"/>
  <c r="Q978" i="1" s="1"/>
  <c r="R978" i="1" s="1"/>
  <c r="P974" i="1"/>
  <c r="Q974" i="1" s="1"/>
  <c r="R974" i="1" s="1"/>
  <c r="P970" i="1"/>
  <c r="Q970" i="1" s="1"/>
  <c r="R970" i="1" s="1"/>
  <c r="P966" i="1"/>
  <c r="Q966" i="1" s="1"/>
  <c r="R966" i="1" s="1"/>
  <c r="P962" i="1"/>
  <c r="Q962" i="1" s="1"/>
  <c r="R962" i="1" s="1"/>
  <c r="P958" i="1"/>
  <c r="Q958" i="1" s="1"/>
  <c r="R958" i="1" s="1"/>
  <c r="P954" i="1"/>
  <c r="Q954" i="1" s="1"/>
  <c r="R954" i="1" s="1"/>
  <c r="P950" i="1"/>
  <c r="Q950" i="1" s="1"/>
  <c r="R950" i="1" s="1"/>
  <c r="P946" i="1"/>
  <c r="Q946" i="1" s="1"/>
  <c r="R946" i="1" s="1"/>
  <c r="P942" i="1"/>
  <c r="Q942" i="1" s="1"/>
  <c r="R942" i="1" s="1"/>
  <c r="P938" i="1"/>
  <c r="Q938" i="1" s="1"/>
  <c r="R938" i="1" s="1"/>
  <c r="P934" i="1"/>
  <c r="Q934" i="1" s="1"/>
  <c r="R934" i="1" s="1"/>
  <c r="P930" i="1"/>
  <c r="Q930" i="1" s="1"/>
  <c r="R930" i="1" s="1"/>
  <c r="P926" i="1"/>
  <c r="Q926" i="1" s="1"/>
  <c r="R926" i="1" s="1"/>
  <c r="P922" i="1"/>
  <c r="Q922" i="1" s="1"/>
  <c r="R922" i="1" s="1"/>
  <c r="P918" i="1"/>
  <c r="Q918" i="1" s="1"/>
  <c r="R918" i="1" s="1"/>
  <c r="P914" i="1"/>
  <c r="Q914" i="1" s="1"/>
  <c r="R914" i="1" s="1"/>
  <c r="P910" i="1"/>
  <c r="Q910" i="1" s="1"/>
  <c r="R910" i="1" s="1"/>
  <c r="P906" i="1"/>
  <c r="Q906" i="1" s="1"/>
  <c r="R906" i="1" s="1"/>
  <c r="P902" i="1"/>
  <c r="Q902" i="1" s="1"/>
  <c r="R902" i="1" s="1"/>
  <c r="P898" i="1"/>
  <c r="Q898" i="1" s="1"/>
  <c r="R898" i="1" s="1"/>
  <c r="P894" i="1"/>
  <c r="Q894" i="1" s="1"/>
  <c r="R894" i="1" s="1"/>
  <c r="P890" i="1"/>
  <c r="Q890" i="1" s="1"/>
  <c r="R890" i="1" s="1"/>
  <c r="P886" i="1"/>
  <c r="Q886" i="1" s="1"/>
  <c r="R886" i="1" s="1"/>
  <c r="P882" i="1"/>
  <c r="Q882" i="1" s="1"/>
  <c r="R882" i="1" s="1"/>
  <c r="P878" i="1"/>
  <c r="Q878" i="1" s="1"/>
  <c r="R878" i="1" s="1"/>
  <c r="P874" i="1"/>
  <c r="Q874" i="1" s="1"/>
  <c r="R874" i="1" s="1"/>
  <c r="P870" i="1"/>
  <c r="Q870" i="1" s="1"/>
  <c r="R870" i="1" s="1"/>
  <c r="P866" i="1"/>
  <c r="Q866" i="1" s="1"/>
  <c r="R866" i="1" s="1"/>
  <c r="P862" i="1"/>
  <c r="Q862" i="1" s="1"/>
  <c r="R862" i="1" s="1"/>
  <c r="P858" i="1"/>
  <c r="Q858" i="1" s="1"/>
  <c r="R858" i="1" s="1"/>
  <c r="P854" i="1"/>
  <c r="Q854" i="1" s="1"/>
  <c r="R854" i="1" s="1"/>
  <c r="P850" i="1"/>
  <c r="Q850" i="1" s="1"/>
  <c r="R850" i="1" s="1"/>
  <c r="P846" i="1"/>
  <c r="Q846" i="1" s="1"/>
  <c r="R846" i="1" s="1"/>
  <c r="P842" i="1"/>
  <c r="Q842" i="1" s="1"/>
  <c r="R842" i="1" s="1"/>
  <c r="P838" i="1"/>
  <c r="Q838" i="1" s="1"/>
  <c r="R838" i="1" s="1"/>
  <c r="P834" i="1"/>
  <c r="Q834" i="1" s="1"/>
  <c r="R834" i="1" s="1"/>
  <c r="P830" i="1"/>
  <c r="Q830" i="1" s="1"/>
  <c r="R830" i="1" s="1"/>
  <c r="P826" i="1"/>
  <c r="Q826" i="1" s="1"/>
  <c r="R826" i="1" s="1"/>
  <c r="P822" i="1"/>
  <c r="Q822" i="1" s="1"/>
  <c r="R822" i="1" s="1"/>
  <c r="P818" i="1"/>
  <c r="Q818" i="1" s="1"/>
  <c r="R818" i="1" s="1"/>
  <c r="P814" i="1"/>
  <c r="Q814" i="1" s="1"/>
  <c r="R814" i="1" s="1"/>
  <c r="P810" i="1"/>
  <c r="Q810" i="1" s="1"/>
  <c r="R810" i="1" s="1"/>
  <c r="P806" i="1"/>
  <c r="Q806" i="1" s="1"/>
  <c r="R806" i="1" s="1"/>
  <c r="P802" i="1"/>
  <c r="Q802" i="1" s="1"/>
  <c r="R802" i="1" s="1"/>
  <c r="P798" i="1"/>
  <c r="Q798" i="1" s="1"/>
  <c r="R798" i="1" s="1"/>
  <c r="P794" i="1"/>
  <c r="Q794" i="1" s="1"/>
  <c r="R794" i="1" s="1"/>
  <c r="P790" i="1"/>
  <c r="Q790" i="1" s="1"/>
  <c r="R790" i="1" s="1"/>
  <c r="P786" i="1"/>
  <c r="Q786" i="1" s="1"/>
  <c r="R786" i="1" s="1"/>
  <c r="P642" i="1"/>
  <c r="Q642" i="1" s="1"/>
  <c r="R642" i="1" s="1"/>
  <c r="T642" i="1" s="1"/>
  <c r="P638" i="1"/>
  <c r="Q638" i="1" s="1"/>
  <c r="R638" i="1" s="1"/>
  <c r="T638" i="1" s="1"/>
  <c r="P634" i="1"/>
  <c r="Q634" i="1" s="1"/>
  <c r="R634" i="1" s="1"/>
  <c r="T634" i="1" s="1"/>
  <c r="P630" i="1"/>
  <c r="Q630" i="1" s="1"/>
  <c r="R630" i="1" s="1"/>
  <c r="T630" i="1" s="1"/>
  <c r="P626" i="1"/>
  <c r="Q626" i="1" s="1"/>
  <c r="R626" i="1" s="1"/>
  <c r="T626" i="1" s="1"/>
  <c r="P622" i="1"/>
  <c r="Q622" i="1" s="1"/>
  <c r="R622" i="1" s="1"/>
  <c r="T622" i="1" s="1"/>
  <c r="P618" i="1"/>
  <c r="Q618" i="1" s="1"/>
  <c r="R618" i="1" s="1"/>
  <c r="T618" i="1" s="1"/>
  <c r="P614" i="1"/>
  <c r="Q614" i="1" s="1"/>
  <c r="R614" i="1" s="1"/>
  <c r="T614" i="1" s="1"/>
  <c r="P610" i="1"/>
  <c r="Q610" i="1" s="1"/>
  <c r="R610" i="1" s="1"/>
  <c r="T610" i="1" s="1"/>
  <c r="P606" i="1"/>
  <c r="Q606" i="1" s="1"/>
  <c r="R606" i="1" s="1"/>
  <c r="T606" i="1" s="1"/>
  <c r="P602" i="1"/>
  <c r="Q602" i="1" s="1"/>
  <c r="R602" i="1" s="1"/>
  <c r="T602" i="1" s="1"/>
  <c r="P598" i="1"/>
  <c r="Q598" i="1" s="1"/>
  <c r="R598" i="1" s="1"/>
  <c r="T598" i="1" s="1"/>
  <c r="P594" i="1"/>
  <c r="Q594" i="1" s="1"/>
  <c r="R594" i="1" s="1"/>
  <c r="T594" i="1" s="1"/>
  <c r="P586" i="1"/>
  <c r="Q586" i="1" s="1"/>
  <c r="R586" i="1" s="1"/>
  <c r="T586" i="1" s="1"/>
  <c r="P582" i="1"/>
  <c r="Q582" i="1" s="1"/>
  <c r="R582" i="1" s="1"/>
  <c r="T582" i="1" s="1"/>
  <c r="P578" i="1"/>
  <c r="Q578" i="1" s="1"/>
  <c r="R578" i="1" s="1"/>
  <c r="T578" i="1" s="1"/>
  <c r="P782" i="1"/>
  <c r="Q782" i="1" s="1"/>
  <c r="R782" i="1" s="1"/>
  <c r="P778" i="1"/>
  <c r="Q778" i="1" s="1"/>
  <c r="R778" i="1" s="1"/>
  <c r="P774" i="1"/>
  <c r="Q774" i="1" s="1"/>
  <c r="R774" i="1" s="1"/>
  <c r="P770" i="1"/>
  <c r="Q770" i="1" s="1"/>
  <c r="R770" i="1" s="1"/>
  <c r="P766" i="1"/>
  <c r="Q766" i="1" s="1"/>
  <c r="R766" i="1" s="1"/>
  <c r="P762" i="1"/>
  <c r="Q762" i="1" s="1"/>
  <c r="R762" i="1" s="1"/>
  <c r="P758" i="1"/>
  <c r="Q758" i="1" s="1"/>
  <c r="R758" i="1" s="1"/>
  <c r="P754" i="1"/>
  <c r="Q754" i="1" s="1"/>
  <c r="R754" i="1" s="1"/>
  <c r="P750" i="1"/>
  <c r="Q750" i="1" s="1"/>
  <c r="R750" i="1" s="1"/>
  <c r="P746" i="1"/>
  <c r="Q746" i="1" s="1"/>
  <c r="R746" i="1" s="1"/>
  <c r="P742" i="1"/>
  <c r="Q742" i="1" s="1"/>
  <c r="R742" i="1" s="1"/>
  <c r="P738" i="1"/>
  <c r="Q738" i="1" s="1"/>
  <c r="R738" i="1" s="1"/>
  <c r="P734" i="1"/>
  <c r="Q734" i="1" s="1"/>
  <c r="R734" i="1" s="1"/>
  <c r="P730" i="1"/>
  <c r="Q730" i="1" s="1"/>
  <c r="R730" i="1" s="1"/>
  <c r="P726" i="1"/>
  <c r="Q726" i="1" s="1"/>
  <c r="R726" i="1" s="1"/>
  <c r="P722" i="1"/>
  <c r="Q722" i="1" s="1"/>
  <c r="R722" i="1" s="1"/>
  <c r="P718" i="1"/>
  <c r="Q718" i="1" s="1"/>
  <c r="R718" i="1" s="1"/>
  <c r="P714" i="1"/>
  <c r="Q714" i="1" s="1"/>
  <c r="R714" i="1" s="1"/>
  <c r="P710" i="1"/>
  <c r="Q710" i="1" s="1"/>
  <c r="R710" i="1" s="1"/>
  <c r="P706" i="1"/>
  <c r="Q706" i="1" s="1"/>
  <c r="R706" i="1" s="1"/>
  <c r="P702" i="1"/>
  <c r="Q702" i="1" s="1"/>
  <c r="R702" i="1" s="1"/>
  <c r="P698" i="1"/>
  <c r="Q698" i="1" s="1"/>
  <c r="R698" i="1" s="1"/>
  <c r="P694" i="1"/>
  <c r="Q694" i="1" s="1"/>
  <c r="R694" i="1" s="1"/>
  <c r="P690" i="1"/>
  <c r="Q690" i="1" s="1"/>
  <c r="R690" i="1" s="1"/>
  <c r="P686" i="1"/>
  <c r="Q686" i="1" s="1"/>
  <c r="R686" i="1" s="1"/>
  <c r="P682" i="1"/>
  <c r="Q682" i="1" s="1"/>
  <c r="R682" i="1" s="1"/>
  <c r="P678" i="1"/>
  <c r="Q678" i="1" s="1"/>
  <c r="R678" i="1" s="1"/>
  <c r="P674" i="1"/>
  <c r="Q674" i="1" s="1"/>
  <c r="R674" i="1" s="1"/>
  <c r="P670" i="1"/>
  <c r="Q670" i="1" s="1"/>
  <c r="R670" i="1" s="1"/>
  <c r="P666" i="1"/>
  <c r="Q666" i="1" s="1"/>
  <c r="R666" i="1" s="1"/>
  <c r="P662" i="1"/>
  <c r="Q662" i="1" s="1"/>
  <c r="R662" i="1" s="1"/>
  <c r="P658" i="1"/>
  <c r="Q658" i="1" s="1"/>
  <c r="R658" i="1" s="1"/>
  <c r="P654" i="1"/>
  <c r="Q654" i="1" s="1"/>
  <c r="R654" i="1" s="1"/>
  <c r="P650" i="1"/>
  <c r="Q650" i="1" s="1"/>
  <c r="R650" i="1" s="1"/>
  <c r="T650" i="1" s="1"/>
  <c r="P646" i="1"/>
  <c r="Q646" i="1" s="1"/>
  <c r="R646" i="1" s="1"/>
  <c r="T646" i="1" s="1"/>
  <c r="P633" i="1"/>
  <c r="Q633" i="1" s="1"/>
  <c r="R633" i="1" s="1"/>
  <c r="T633" i="1" s="1"/>
  <c r="P629" i="1"/>
  <c r="Q629" i="1" s="1"/>
  <c r="R629" i="1" s="1"/>
  <c r="T629" i="1" s="1"/>
  <c r="P625" i="1"/>
  <c r="Q625" i="1" s="1"/>
  <c r="R625" i="1" s="1"/>
  <c r="T625" i="1" s="1"/>
  <c r="P621" i="1"/>
  <c r="Q621" i="1" s="1"/>
  <c r="R621" i="1" s="1"/>
  <c r="T621" i="1" s="1"/>
  <c r="P617" i="1"/>
  <c r="Q617" i="1" s="1"/>
  <c r="R617" i="1" s="1"/>
  <c r="T617" i="1" s="1"/>
  <c r="P613" i="1"/>
  <c r="Q613" i="1" s="1"/>
  <c r="R613" i="1" s="1"/>
  <c r="T613" i="1" s="1"/>
  <c r="P609" i="1"/>
  <c r="Q609" i="1" s="1"/>
  <c r="R609" i="1" s="1"/>
  <c r="T609" i="1" s="1"/>
  <c r="P605" i="1"/>
  <c r="Q605" i="1" s="1"/>
  <c r="R605" i="1" s="1"/>
  <c r="T605" i="1" s="1"/>
  <c r="P601" i="1"/>
  <c r="Q601" i="1" s="1"/>
  <c r="R601" i="1" s="1"/>
  <c r="T601" i="1" s="1"/>
  <c r="P597" i="1"/>
  <c r="Q597" i="1" s="1"/>
  <c r="R597" i="1" s="1"/>
  <c r="T597" i="1" s="1"/>
  <c r="P593" i="1"/>
  <c r="Q593" i="1" s="1"/>
  <c r="R593" i="1" s="1"/>
  <c r="T593" i="1" s="1"/>
  <c r="P589" i="1"/>
  <c r="Q589" i="1" s="1"/>
  <c r="R589" i="1" s="1"/>
  <c r="T589" i="1" s="1"/>
  <c r="P585" i="1"/>
  <c r="Q585" i="1" s="1"/>
  <c r="R585" i="1" s="1"/>
  <c r="T585" i="1" s="1"/>
  <c r="P581" i="1"/>
  <c r="Q581" i="1" s="1"/>
  <c r="R581" i="1" s="1"/>
  <c r="T581" i="1" s="1"/>
  <c r="P577" i="1"/>
  <c r="Q577" i="1" s="1"/>
  <c r="R577" i="1" s="1"/>
  <c r="T577" i="1" s="1"/>
  <c r="P628" i="1"/>
  <c r="Q628" i="1" s="1"/>
  <c r="R628" i="1" s="1"/>
  <c r="T628" i="1" s="1"/>
  <c r="P604" i="1"/>
  <c r="Q604" i="1" s="1"/>
  <c r="R604" i="1" s="1"/>
  <c r="T604" i="1" s="1"/>
  <c r="P580" i="1"/>
  <c r="Q580" i="1" s="1"/>
  <c r="R580" i="1" s="1"/>
  <c r="T580" i="1" s="1"/>
  <c r="P1100" i="1"/>
  <c r="Q1100" i="1" s="1"/>
  <c r="P944" i="1"/>
  <c r="Q944" i="1" s="1"/>
  <c r="R944" i="1" s="1"/>
  <c r="P1124" i="1"/>
  <c r="Q1124" i="1" s="1"/>
  <c r="P820" i="1"/>
  <c r="Q820" i="1" s="1"/>
  <c r="R820" i="1" s="1"/>
  <c r="P800" i="1"/>
  <c r="Q800" i="1" s="1"/>
  <c r="R800" i="1" s="1"/>
  <c r="P668" i="1"/>
  <c r="Q668" i="1" s="1"/>
  <c r="R668" i="1" s="1"/>
  <c r="P1200" i="1"/>
  <c r="Q1200" i="1" s="1"/>
  <c r="P1188" i="1"/>
  <c r="Q1188" i="1" s="1"/>
  <c r="P1168" i="1"/>
  <c r="Q1168" i="1" s="1"/>
  <c r="P1156" i="1"/>
  <c r="Q1156" i="1" s="1"/>
  <c r="P1128" i="1"/>
  <c r="Q1128" i="1" s="1"/>
  <c r="P1120" i="1"/>
  <c r="Q1120" i="1" s="1"/>
  <c r="P1096" i="1"/>
  <c r="Q1096" i="1" s="1"/>
  <c r="P1084" i="1"/>
  <c r="Q1084" i="1" s="1"/>
  <c r="P1044" i="1"/>
  <c r="Q1044" i="1" s="1"/>
  <c r="P1024" i="1"/>
  <c r="Q1024" i="1" s="1"/>
  <c r="P988" i="1"/>
  <c r="Q988" i="1" s="1"/>
  <c r="R988" i="1" s="1"/>
  <c r="P904" i="1"/>
  <c r="Q904" i="1" s="1"/>
  <c r="R904" i="1" s="1"/>
  <c r="P860" i="1"/>
  <c r="Q860" i="1" s="1"/>
  <c r="R860" i="1" s="1"/>
  <c r="P756" i="1"/>
  <c r="Q756" i="1" s="1"/>
  <c r="R756" i="1" s="1"/>
  <c r="P736" i="1"/>
  <c r="Q736" i="1" s="1"/>
  <c r="R736" i="1" s="1"/>
  <c r="P712" i="1"/>
  <c r="Q712" i="1" s="1"/>
  <c r="R712" i="1" s="1"/>
  <c r="P692" i="1"/>
  <c r="Q692" i="1" s="1"/>
  <c r="R692" i="1" s="1"/>
  <c r="P1240" i="1"/>
  <c r="Q1240" i="1" s="1"/>
  <c r="P1236" i="1"/>
  <c r="Q1236" i="1" s="1"/>
  <c r="P1228" i="1"/>
  <c r="Q1228" i="1" s="1"/>
  <c r="P1224" i="1"/>
  <c r="Q1224" i="1" s="1"/>
  <c r="P1216" i="1"/>
  <c r="Q1216" i="1" s="1"/>
  <c r="P1212" i="1"/>
  <c r="Q1212" i="1" s="1"/>
  <c r="P1208" i="1"/>
  <c r="Q1208" i="1" s="1"/>
  <c r="P1204" i="1"/>
  <c r="Q1204" i="1" s="1"/>
  <c r="P1196" i="1"/>
  <c r="Q1196" i="1" s="1"/>
  <c r="P1192" i="1"/>
  <c r="Q1192" i="1" s="1"/>
  <c r="P1184" i="1"/>
  <c r="Q1184" i="1" s="1"/>
  <c r="P1180" i="1"/>
  <c r="Q1180" i="1" s="1"/>
  <c r="P1176" i="1"/>
  <c r="Q1176" i="1" s="1"/>
  <c r="P1164" i="1"/>
  <c r="Q1164" i="1" s="1"/>
  <c r="P1160" i="1"/>
  <c r="Q1160" i="1" s="1"/>
  <c r="P1152" i="1"/>
  <c r="Q1152" i="1" s="1"/>
  <c r="P1148" i="1"/>
  <c r="Q1148" i="1" s="1"/>
  <c r="P1144" i="1"/>
  <c r="Q1144" i="1" s="1"/>
  <c r="P1140" i="1"/>
  <c r="Q1140" i="1" s="1"/>
  <c r="P1136" i="1"/>
  <c r="Q1136" i="1" s="1"/>
  <c r="P1116" i="1"/>
  <c r="Q1116" i="1" s="1"/>
  <c r="P1112" i="1"/>
  <c r="Q1112" i="1" s="1"/>
  <c r="P1108" i="1"/>
  <c r="Q1108" i="1" s="1"/>
  <c r="P1104" i="1"/>
  <c r="Q1104" i="1" s="1"/>
  <c r="P1092" i="1"/>
  <c r="Q1092" i="1" s="1"/>
  <c r="P1088" i="1"/>
  <c r="Q1088" i="1" s="1"/>
  <c r="P1080" i="1"/>
  <c r="Q1080" i="1" s="1"/>
  <c r="P1076" i="1"/>
  <c r="Q1076" i="1" s="1"/>
  <c r="P1072" i="1"/>
  <c r="Q1072" i="1" s="1"/>
  <c r="P1068" i="1"/>
  <c r="Q1068" i="1" s="1"/>
  <c r="P1064" i="1"/>
  <c r="Q1064" i="1" s="1"/>
  <c r="P1060" i="1"/>
  <c r="Q1060" i="1" s="1"/>
  <c r="P1056" i="1"/>
  <c r="Q1056" i="1" s="1"/>
  <c r="P1052" i="1"/>
  <c r="Q1052" i="1" s="1"/>
  <c r="P1048" i="1"/>
  <c r="Q1048" i="1" s="1"/>
  <c r="P1040" i="1"/>
  <c r="Q1040" i="1" s="1"/>
  <c r="P1036" i="1"/>
  <c r="Q1036" i="1" s="1"/>
  <c r="P1032" i="1"/>
  <c r="Q1032" i="1" s="1"/>
  <c r="P1028" i="1"/>
  <c r="Q1028" i="1" s="1"/>
  <c r="P1020" i="1"/>
  <c r="Q1020" i="1" s="1"/>
  <c r="P1016" i="1"/>
  <c r="Q1016" i="1" s="1"/>
  <c r="R1016" i="1" s="1"/>
  <c r="P1012" i="1"/>
  <c r="Q1012" i="1" s="1"/>
  <c r="R1012" i="1" s="1"/>
  <c r="P1008" i="1"/>
  <c r="Q1008" i="1" s="1"/>
  <c r="R1008" i="1" s="1"/>
  <c r="P1004" i="1"/>
  <c r="Q1004" i="1" s="1"/>
  <c r="R1004" i="1" s="1"/>
  <c r="P1000" i="1"/>
  <c r="Q1000" i="1" s="1"/>
  <c r="R1000" i="1" s="1"/>
  <c r="P996" i="1"/>
  <c r="Q996" i="1" s="1"/>
  <c r="R996" i="1" s="1"/>
  <c r="P992" i="1"/>
  <c r="Q992" i="1" s="1"/>
  <c r="R992" i="1" s="1"/>
  <c r="P984" i="1"/>
  <c r="Q984" i="1" s="1"/>
  <c r="R984" i="1" s="1"/>
  <c r="P980" i="1"/>
  <c r="Q980" i="1" s="1"/>
  <c r="R980" i="1" s="1"/>
  <c r="P976" i="1"/>
  <c r="Q976" i="1" s="1"/>
  <c r="R976" i="1" s="1"/>
  <c r="P972" i="1"/>
  <c r="Q972" i="1" s="1"/>
  <c r="R972" i="1" s="1"/>
  <c r="P968" i="1"/>
  <c r="Q968" i="1" s="1"/>
  <c r="R968" i="1" s="1"/>
  <c r="P960" i="1"/>
  <c r="Q960" i="1" s="1"/>
  <c r="R960" i="1" s="1"/>
  <c r="P956" i="1"/>
  <c r="Q956" i="1" s="1"/>
  <c r="R956" i="1" s="1"/>
  <c r="P952" i="1"/>
  <c r="Q952" i="1" s="1"/>
  <c r="R952" i="1" s="1"/>
  <c r="P948" i="1"/>
  <c r="Q948" i="1" s="1"/>
  <c r="R948" i="1" s="1"/>
  <c r="P940" i="1"/>
  <c r="Q940" i="1" s="1"/>
  <c r="R940" i="1" s="1"/>
  <c r="P936" i="1"/>
  <c r="Q936" i="1" s="1"/>
  <c r="R936" i="1" s="1"/>
  <c r="P932" i="1"/>
  <c r="Q932" i="1" s="1"/>
  <c r="R932" i="1" s="1"/>
  <c r="P928" i="1"/>
  <c r="Q928" i="1" s="1"/>
  <c r="R928" i="1" s="1"/>
  <c r="P924" i="1"/>
  <c r="Q924" i="1" s="1"/>
  <c r="R924" i="1" s="1"/>
  <c r="P920" i="1"/>
  <c r="Q920" i="1" s="1"/>
  <c r="R920" i="1" s="1"/>
  <c r="P916" i="1"/>
  <c r="Q916" i="1" s="1"/>
  <c r="R916" i="1" s="1"/>
  <c r="P912" i="1"/>
  <c r="Q912" i="1" s="1"/>
  <c r="R912" i="1" s="1"/>
  <c r="P908" i="1"/>
  <c r="Q908" i="1" s="1"/>
  <c r="R908" i="1" s="1"/>
  <c r="P900" i="1"/>
  <c r="Q900" i="1" s="1"/>
  <c r="R900" i="1" s="1"/>
  <c r="P896" i="1"/>
  <c r="Q896" i="1" s="1"/>
  <c r="R896" i="1" s="1"/>
  <c r="P892" i="1"/>
  <c r="Q892" i="1" s="1"/>
  <c r="R892" i="1" s="1"/>
  <c r="P888" i="1"/>
  <c r="Q888" i="1" s="1"/>
  <c r="R888" i="1" s="1"/>
  <c r="P884" i="1"/>
  <c r="Q884" i="1" s="1"/>
  <c r="R884" i="1" s="1"/>
  <c r="P880" i="1"/>
  <c r="Q880" i="1" s="1"/>
  <c r="R880" i="1" s="1"/>
  <c r="P876" i="1"/>
  <c r="Q876" i="1" s="1"/>
  <c r="R876" i="1" s="1"/>
  <c r="P872" i="1"/>
  <c r="Q872" i="1" s="1"/>
  <c r="R872" i="1" s="1"/>
  <c r="P868" i="1"/>
  <c r="Q868" i="1" s="1"/>
  <c r="R868" i="1" s="1"/>
  <c r="P864" i="1"/>
  <c r="Q864" i="1" s="1"/>
  <c r="R864" i="1" s="1"/>
  <c r="P856" i="1"/>
  <c r="Q856" i="1" s="1"/>
  <c r="R856" i="1" s="1"/>
  <c r="P852" i="1"/>
  <c r="Q852" i="1" s="1"/>
  <c r="R852" i="1" s="1"/>
  <c r="P848" i="1"/>
  <c r="Q848" i="1" s="1"/>
  <c r="R848" i="1" s="1"/>
  <c r="P844" i="1"/>
  <c r="Q844" i="1" s="1"/>
  <c r="R844" i="1" s="1"/>
  <c r="P840" i="1"/>
  <c r="Q840" i="1" s="1"/>
  <c r="R840" i="1" s="1"/>
  <c r="P836" i="1"/>
  <c r="Q836" i="1" s="1"/>
  <c r="R836" i="1" s="1"/>
  <c r="P832" i="1"/>
  <c r="Q832" i="1" s="1"/>
  <c r="R832" i="1" s="1"/>
  <c r="P828" i="1"/>
  <c r="Q828" i="1" s="1"/>
  <c r="R828" i="1" s="1"/>
  <c r="P824" i="1"/>
  <c r="Q824" i="1" s="1"/>
  <c r="R824" i="1" s="1"/>
  <c r="P816" i="1"/>
  <c r="Q816" i="1" s="1"/>
  <c r="R816" i="1" s="1"/>
  <c r="P812" i="1"/>
  <c r="Q812" i="1" s="1"/>
  <c r="R812" i="1" s="1"/>
  <c r="P808" i="1"/>
  <c r="Q808" i="1" s="1"/>
  <c r="R808" i="1" s="1"/>
  <c r="P804" i="1"/>
  <c r="Q804" i="1" s="1"/>
  <c r="R804" i="1" s="1"/>
  <c r="P796" i="1"/>
  <c r="Q796" i="1" s="1"/>
  <c r="R796" i="1" s="1"/>
  <c r="P792" i="1"/>
  <c r="Q792" i="1" s="1"/>
  <c r="R792" i="1" s="1"/>
  <c r="P788" i="1"/>
  <c r="Q788" i="1" s="1"/>
  <c r="R788" i="1" s="1"/>
  <c r="P784" i="1"/>
  <c r="Q784" i="1" s="1"/>
  <c r="R784" i="1" s="1"/>
  <c r="P780" i="1"/>
  <c r="Q780" i="1" s="1"/>
  <c r="R780" i="1" s="1"/>
  <c r="P776" i="1"/>
  <c r="Q776" i="1" s="1"/>
  <c r="R776" i="1" s="1"/>
  <c r="P772" i="1"/>
  <c r="Q772" i="1" s="1"/>
  <c r="R772" i="1" s="1"/>
  <c r="P768" i="1"/>
  <c r="Q768" i="1" s="1"/>
  <c r="R768" i="1" s="1"/>
  <c r="P764" i="1"/>
  <c r="Q764" i="1" s="1"/>
  <c r="R764" i="1" s="1"/>
  <c r="P760" i="1"/>
  <c r="Q760" i="1" s="1"/>
  <c r="R760" i="1" s="1"/>
  <c r="P752" i="1"/>
  <c r="Q752" i="1" s="1"/>
  <c r="R752" i="1" s="1"/>
  <c r="P748" i="1"/>
  <c r="Q748" i="1" s="1"/>
  <c r="R748" i="1" s="1"/>
  <c r="P744" i="1"/>
  <c r="Q744" i="1" s="1"/>
  <c r="R744" i="1" s="1"/>
  <c r="P740" i="1"/>
  <c r="Q740" i="1" s="1"/>
  <c r="R740" i="1" s="1"/>
  <c r="P732" i="1"/>
  <c r="Q732" i="1" s="1"/>
  <c r="R732" i="1" s="1"/>
  <c r="P728" i="1"/>
  <c r="Q728" i="1" s="1"/>
  <c r="R728" i="1" s="1"/>
  <c r="P724" i="1"/>
  <c r="Q724" i="1" s="1"/>
  <c r="R724" i="1" s="1"/>
  <c r="P1172" i="1"/>
  <c r="Q1172" i="1" s="1"/>
  <c r="P720" i="1"/>
  <c r="Q720" i="1" s="1"/>
  <c r="R720" i="1" s="1"/>
  <c r="P716" i="1"/>
  <c r="Q716" i="1" s="1"/>
  <c r="R716" i="1" s="1"/>
  <c r="P708" i="1"/>
  <c r="Q708" i="1" s="1"/>
  <c r="R708" i="1" s="1"/>
  <c r="P704" i="1"/>
  <c r="Q704" i="1" s="1"/>
  <c r="R704" i="1" s="1"/>
  <c r="P700" i="1"/>
  <c r="Q700" i="1" s="1"/>
  <c r="R700" i="1" s="1"/>
  <c r="P696" i="1"/>
  <c r="Q696" i="1" s="1"/>
  <c r="R696" i="1" s="1"/>
  <c r="P688" i="1"/>
  <c r="Q688" i="1" s="1"/>
  <c r="R688" i="1" s="1"/>
  <c r="P684" i="1"/>
  <c r="Q684" i="1" s="1"/>
  <c r="R684" i="1" s="1"/>
  <c r="P680" i="1"/>
  <c r="Q680" i="1" s="1"/>
  <c r="R680" i="1" s="1"/>
  <c r="P676" i="1"/>
  <c r="Q676" i="1" s="1"/>
  <c r="R676" i="1" s="1"/>
  <c r="P672" i="1"/>
  <c r="Q672" i="1" s="1"/>
  <c r="R672" i="1" s="1"/>
  <c r="P664" i="1"/>
  <c r="Q664" i="1" s="1"/>
  <c r="R664" i="1" s="1"/>
  <c r="P660" i="1"/>
  <c r="Q660" i="1" s="1"/>
  <c r="R660" i="1" s="1"/>
  <c r="P656" i="1"/>
  <c r="Q656" i="1" s="1"/>
  <c r="R656" i="1" s="1"/>
  <c r="P652" i="1"/>
  <c r="Q652" i="1" s="1"/>
  <c r="R652" i="1" s="1"/>
  <c r="T652" i="1" s="1"/>
  <c r="P648" i="1"/>
  <c r="Q648" i="1" s="1"/>
  <c r="R648" i="1" s="1"/>
  <c r="T648" i="1" s="1"/>
  <c r="P644" i="1"/>
  <c r="Q644" i="1" s="1"/>
  <c r="R644" i="1" s="1"/>
  <c r="T644" i="1" s="1"/>
  <c r="P640" i="1"/>
  <c r="Q640" i="1" s="1"/>
  <c r="R640" i="1" s="1"/>
  <c r="T640" i="1" s="1"/>
  <c r="P636" i="1"/>
  <c r="Q636" i="1" s="1"/>
  <c r="R636" i="1" s="1"/>
  <c r="T636" i="1" s="1"/>
  <c r="P632" i="1"/>
  <c r="Q632" i="1" s="1"/>
  <c r="R632" i="1" s="1"/>
  <c r="T632" i="1" s="1"/>
  <c r="P624" i="1"/>
  <c r="Q624" i="1" s="1"/>
  <c r="R624" i="1" s="1"/>
  <c r="T624" i="1" s="1"/>
  <c r="P620" i="1"/>
  <c r="Q620" i="1" s="1"/>
  <c r="R620" i="1" s="1"/>
  <c r="T620" i="1" s="1"/>
  <c r="P616" i="1"/>
  <c r="Q616" i="1" s="1"/>
  <c r="R616" i="1" s="1"/>
  <c r="T616" i="1" s="1"/>
  <c r="P612" i="1"/>
  <c r="Q612" i="1" s="1"/>
  <c r="R612" i="1" s="1"/>
  <c r="T612" i="1" s="1"/>
  <c r="P608" i="1"/>
  <c r="Q608" i="1" s="1"/>
  <c r="R608" i="1" s="1"/>
  <c r="T608" i="1" s="1"/>
  <c r="P600" i="1"/>
  <c r="Q600" i="1" s="1"/>
  <c r="R600" i="1" s="1"/>
  <c r="T600" i="1" s="1"/>
  <c r="P596" i="1"/>
  <c r="Q596" i="1" s="1"/>
  <c r="R596" i="1" s="1"/>
  <c r="T596" i="1" s="1"/>
  <c r="P592" i="1"/>
  <c r="Q592" i="1" s="1"/>
  <c r="R592" i="1" s="1"/>
  <c r="T592" i="1" s="1"/>
  <c r="P588" i="1"/>
  <c r="Q588" i="1" s="1"/>
  <c r="R588" i="1" s="1"/>
  <c r="T588" i="1" s="1"/>
  <c r="P584" i="1"/>
  <c r="Q584" i="1" s="1"/>
  <c r="R584" i="1" s="1"/>
  <c r="T584" i="1" s="1"/>
  <c r="P576" i="1"/>
  <c r="Q576" i="1" s="1"/>
  <c r="R576" i="1" s="1"/>
  <c r="T576" i="1" s="1"/>
  <c r="P699" i="1"/>
  <c r="Q699" i="1" s="1"/>
  <c r="R699" i="1" s="1"/>
  <c r="P1199" i="1"/>
  <c r="Q1199" i="1" s="1"/>
  <c r="P1195" i="1"/>
  <c r="Q1195" i="1" s="1"/>
  <c r="P1191" i="1"/>
  <c r="Q1191" i="1" s="1"/>
  <c r="P1187" i="1"/>
  <c r="Q1187" i="1" s="1"/>
  <c r="P1183" i="1"/>
  <c r="Q1183" i="1" s="1"/>
  <c r="P1179" i="1"/>
  <c r="Q1179" i="1" s="1"/>
  <c r="P1175" i="1"/>
  <c r="Q1175" i="1" s="1"/>
  <c r="P1171" i="1"/>
  <c r="Q1171" i="1" s="1"/>
  <c r="P1167" i="1"/>
  <c r="Q1167" i="1" s="1"/>
  <c r="P1163" i="1"/>
  <c r="Q1163" i="1" s="1"/>
  <c r="P1159" i="1"/>
  <c r="Q1159" i="1" s="1"/>
  <c r="P1155" i="1"/>
  <c r="Q1155" i="1" s="1"/>
  <c r="P715" i="1"/>
  <c r="Q715" i="1" s="1"/>
  <c r="R715" i="1" s="1"/>
  <c r="P1151" i="1"/>
  <c r="Q1151" i="1" s="1"/>
  <c r="P1147" i="1"/>
  <c r="Q1147" i="1" s="1"/>
  <c r="P1143" i="1"/>
  <c r="Q1143" i="1" s="1"/>
  <c r="P1139" i="1"/>
  <c r="Q1139" i="1" s="1"/>
  <c r="P1135" i="1"/>
  <c r="Q1135" i="1" s="1"/>
  <c r="P1131" i="1"/>
  <c r="Q1131" i="1" s="1"/>
  <c r="P1127" i="1"/>
  <c r="Q1127" i="1" s="1"/>
  <c r="P1123" i="1"/>
  <c r="Q1123" i="1" s="1"/>
  <c r="P1119" i="1"/>
  <c r="Q1119" i="1" s="1"/>
  <c r="P1115" i="1"/>
  <c r="Q1115" i="1" s="1"/>
  <c r="P1111" i="1"/>
  <c r="Q1111" i="1" s="1"/>
  <c r="P1107" i="1"/>
  <c r="Q1107" i="1" s="1"/>
  <c r="P1103" i="1"/>
  <c r="Q1103" i="1" s="1"/>
  <c r="P1099" i="1"/>
  <c r="Q1099" i="1" s="1"/>
  <c r="P1095" i="1"/>
  <c r="Q1095" i="1" s="1"/>
  <c r="P1091" i="1"/>
  <c r="Q1091" i="1" s="1"/>
  <c r="P1087" i="1"/>
  <c r="Q1087" i="1" s="1"/>
  <c r="P1083" i="1"/>
  <c r="Q1083" i="1" s="1"/>
  <c r="P1079" i="1"/>
  <c r="Q1079" i="1" s="1"/>
  <c r="P1075" i="1"/>
  <c r="Q1075" i="1" s="1"/>
  <c r="P1071" i="1"/>
  <c r="Q1071" i="1" s="1"/>
  <c r="P1067" i="1"/>
  <c r="Q1067" i="1" s="1"/>
  <c r="P1063" i="1"/>
  <c r="Q1063" i="1" s="1"/>
  <c r="P1059" i="1"/>
  <c r="Q1059" i="1" s="1"/>
  <c r="P1055" i="1"/>
  <c r="Q1055" i="1" s="1"/>
  <c r="P1051" i="1"/>
  <c r="Q1051" i="1" s="1"/>
  <c r="P1047" i="1"/>
  <c r="Q1047" i="1" s="1"/>
  <c r="P1043" i="1"/>
  <c r="Q1043" i="1" s="1"/>
  <c r="P1039" i="1"/>
  <c r="Q1039" i="1" s="1"/>
  <c r="P1035" i="1"/>
  <c r="Q1035" i="1" s="1"/>
  <c r="P1031" i="1"/>
  <c r="Q1031" i="1" s="1"/>
  <c r="P1027" i="1"/>
  <c r="Q1027" i="1" s="1"/>
  <c r="P1023" i="1"/>
  <c r="Q1023" i="1" s="1"/>
  <c r="P1019" i="1"/>
  <c r="Q1019" i="1" s="1"/>
  <c r="P1015" i="1"/>
  <c r="Q1015" i="1" s="1"/>
  <c r="R1015" i="1" s="1"/>
  <c r="P1011" i="1"/>
  <c r="Q1011" i="1" s="1"/>
  <c r="R1011" i="1" s="1"/>
  <c r="P1007" i="1"/>
  <c r="Q1007" i="1" s="1"/>
  <c r="R1007" i="1" s="1"/>
  <c r="P1003" i="1"/>
  <c r="Q1003" i="1" s="1"/>
  <c r="R1003" i="1" s="1"/>
  <c r="P999" i="1"/>
  <c r="Q999" i="1" s="1"/>
  <c r="R999" i="1" s="1"/>
  <c r="P995" i="1"/>
  <c r="Q995" i="1" s="1"/>
  <c r="R995" i="1" s="1"/>
  <c r="P991" i="1"/>
  <c r="Q991" i="1" s="1"/>
  <c r="R991" i="1" s="1"/>
  <c r="P987" i="1"/>
  <c r="Q987" i="1" s="1"/>
  <c r="R987" i="1" s="1"/>
  <c r="P983" i="1"/>
  <c r="Q983" i="1" s="1"/>
  <c r="R983" i="1" s="1"/>
  <c r="P979" i="1"/>
  <c r="Q979" i="1" s="1"/>
  <c r="R979" i="1" s="1"/>
  <c r="P975" i="1"/>
  <c r="Q975" i="1" s="1"/>
  <c r="R975" i="1" s="1"/>
  <c r="P971" i="1"/>
  <c r="Q971" i="1" s="1"/>
  <c r="R971" i="1" s="1"/>
  <c r="P967" i="1"/>
  <c r="Q967" i="1" s="1"/>
  <c r="R967" i="1" s="1"/>
  <c r="P963" i="1"/>
  <c r="Q963" i="1" s="1"/>
  <c r="R963" i="1" s="1"/>
  <c r="P959" i="1"/>
  <c r="Q959" i="1" s="1"/>
  <c r="R959" i="1" s="1"/>
  <c r="P955" i="1"/>
  <c r="Q955" i="1" s="1"/>
  <c r="R955" i="1" s="1"/>
  <c r="P951" i="1"/>
  <c r="Q951" i="1" s="1"/>
  <c r="R951" i="1" s="1"/>
  <c r="P947" i="1"/>
  <c r="Q947" i="1" s="1"/>
  <c r="R947" i="1" s="1"/>
  <c r="P943" i="1"/>
  <c r="Q943" i="1" s="1"/>
  <c r="R943" i="1" s="1"/>
  <c r="P939" i="1"/>
  <c r="Q939" i="1" s="1"/>
  <c r="R939" i="1" s="1"/>
  <c r="P935" i="1"/>
  <c r="Q935" i="1" s="1"/>
  <c r="R935" i="1" s="1"/>
  <c r="P931" i="1"/>
  <c r="Q931" i="1" s="1"/>
  <c r="R931" i="1" s="1"/>
  <c r="P927" i="1"/>
  <c r="Q927" i="1" s="1"/>
  <c r="R927" i="1" s="1"/>
  <c r="P923" i="1"/>
  <c r="Q923" i="1" s="1"/>
  <c r="R923" i="1" s="1"/>
  <c r="P919" i="1"/>
  <c r="Q919" i="1" s="1"/>
  <c r="R919" i="1" s="1"/>
  <c r="P915" i="1"/>
  <c r="Q915" i="1" s="1"/>
  <c r="R915" i="1" s="1"/>
  <c r="P911" i="1"/>
  <c r="Q911" i="1" s="1"/>
  <c r="R911" i="1" s="1"/>
  <c r="P907" i="1"/>
  <c r="Q907" i="1" s="1"/>
  <c r="R907" i="1" s="1"/>
  <c r="P903" i="1"/>
  <c r="Q903" i="1" s="1"/>
  <c r="R903" i="1" s="1"/>
  <c r="P899" i="1"/>
  <c r="Q899" i="1" s="1"/>
  <c r="R899" i="1" s="1"/>
  <c r="P895" i="1"/>
  <c r="Q895" i="1" s="1"/>
  <c r="R895" i="1" s="1"/>
  <c r="P891" i="1"/>
  <c r="Q891" i="1" s="1"/>
  <c r="R891" i="1" s="1"/>
  <c r="P887" i="1"/>
  <c r="Q887" i="1" s="1"/>
  <c r="R887" i="1" s="1"/>
  <c r="P883" i="1"/>
  <c r="Q883" i="1" s="1"/>
  <c r="R883" i="1" s="1"/>
  <c r="P879" i="1"/>
  <c r="Q879" i="1" s="1"/>
  <c r="R879" i="1" s="1"/>
  <c r="P875" i="1"/>
  <c r="Q875" i="1" s="1"/>
  <c r="R875" i="1" s="1"/>
  <c r="P871" i="1"/>
  <c r="Q871" i="1" s="1"/>
  <c r="R871" i="1" s="1"/>
  <c r="P867" i="1"/>
  <c r="Q867" i="1" s="1"/>
  <c r="R867" i="1" s="1"/>
  <c r="P863" i="1"/>
  <c r="Q863" i="1" s="1"/>
  <c r="R863" i="1" s="1"/>
  <c r="P859" i="1"/>
  <c r="Q859" i="1" s="1"/>
  <c r="R859" i="1" s="1"/>
  <c r="P855" i="1"/>
  <c r="Q855" i="1" s="1"/>
  <c r="R855" i="1" s="1"/>
  <c r="P851" i="1"/>
  <c r="Q851" i="1" s="1"/>
  <c r="R851" i="1" s="1"/>
  <c r="P847" i="1"/>
  <c r="Q847" i="1" s="1"/>
  <c r="R847" i="1" s="1"/>
  <c r="P843" i="1"/>
  <c r="Q843" i="1" s="1"/>
  <c r="R843" i="1" s="1"/>
  <c r="P839" i="1"/>
  <c r="Q839" i="1" s="1"/>
  <c r="R839" i="1" s="1"/>
  <c r="P835" i="1"/>
  <c r="Q835" i="1" s="1"/>
  <c r="R835" i="1" s="1"/>
  <c r="P831" i="1"/>
  <c r="Q831" i="1" s="1"/>
  <c r="R831" i="1" s="1"/>
  <c r="P827" i="1"/>
  <c r="Q827" i="1" s="1"/>
  <c r="R827" i="1" s="1"/>
  <c r="P823" i="1"/>
  <c r="Q823" i="1" s="1"/>
  <c r="R823" i="1" s="1"/>
  <c r="P819" i="1"/>
  <c r="Q819" i="1" s="1"/>
  <c r="R819" i="1" s="1"/>
  <c r="P815" i="1"/>
  <c r="Q815" i="1" s="1"/>
  <c r="R815" i="1" s="1"/>
  <c r="P811" i="1"/>
  <c r="Q811" i="1" s="1"/>
  <c r="R811" i="1" s="1"/>
  <c r="P807" i="1"/>
  <c r="Q807" i="1" s="1"/>
  <c r="R807" i="1" s="1"/>
  <c r="P803" i="1"/>
  <c r="Q803" i="1" s="1"/>
  <c r="R803" i="1" s="1"/>
  <c r="P799" i="1"/>
  <c r="Q799" i="1" s="1"/>
  <c r="R799" i="1" s="1"/>
  <c r="P795" i="1"/>
  <c r="Q795" i="1" s="1"/>
  <c r="R795" i="1" s="1"/>
  <c r="P791" i="1"/>
  <c r="Q791" i="1" s="1"/>
  <c r="R791" i="1" s="1"/>
  <c r="P787" i="1"/>
  <c r="Q787" i="1" s="1"/>
  <c r="R787" i="1" s="1"/>
  <c r="P783" i="1"/>
  <c r="Q783" i="1" s="1"/>
  <c r="R783" i="1" s="1"/>
  <c r="P779" i="1"/>
  <c r="Q779" i="1" s="1"/>
  <c r="R779" i="1" s="1"/>
  <c r="P775" i="1"/>
  <c r="Q775" i="1" s="1"/>
  <c r="R775" i="1" s="1"/>
  <c r="P771" i="1"/>
  <c r="Q771" i="1" s="1"/>
  <c r="R771" i="1" s="1"/>
  <c r="P767" i="1"/>
  <c r="Q767" i="1" s="1"/>
  <c r="R767" i="1" s="1"/>
  <c r="P763" i="1"/>
  <c r="Q763" i="1" s="1"/>
  <c r="R763" i="1" s="1"/>
  <c r="P759" i="1"/>
  <c r="Q759" i="1" s="1"/>
  <c r="R759" i="1" s="1"/>
  <c r="P755" i="1"/>
  <c r="Q755" i="1" s="1"/>
  <c r="R755" i="1" s="1"/>
  <c r="P751" i="1"/>
  <c r="Q751" i="1" s="1"/>
  <c r="R751" i="1" s="1"/>
  <c r="P747" i="1"/>
  <c r="Q747" i="1" s="1"/>
  <c r="R747" i="1" s="1"/>
  <c r="P743" i="1"/>
  <c r="Q743" i="1" s="1"/>
  <c r="R743" i="1" s="1"/>
  <c r="P739" i="1"/>
  <c r="Q739" i="1" s="1"/>
  <c r="R739" i="1" s="1"/>
  <c r="P735" i="1"/>
  <c r="Q735" i="1" s="1"/>
  <c r="R735" i="1" s="1"/>
  <c r="P731" i="1"/>
  <c r="Q731" i="1" s="1"/>
  <c r="R731" i="1" s="1"/>
  <c r="P727" i="1"/>
  <c r="Q727" i="1" s="1"/>
  <c r="R727" i="1" s="1"/>
  <c r="P723" i="1"/>
  <c r="Q723" i="1" s="1"/>
  <c r="R723" i="1" s="1"/>
  <c r="P719" i="1"/>
  <c r="Q719" i="1" s="1"/>
  <c r="R719" i="1" s="1"/>
  <c r="P711" i="1"/>
  <c r="Q711" i="1" s="1"/>
  <c r="R711" i="1" s="1"/>
  <c r="P707" i="1"/>
  <c r="Q707" i="1" s="1"/>
  <c r="R707" i="1" s="1"/>
  <c r="P703" i="1"/>
  <c r="Q703" i="1" s="1"/>
  <c r="R703" i="1" s="1"/>
  <c r="P695" i="1"/>
  <c r="Q695" i="1" s="1"/>
  <c r="R695" i="1" s="1"/>
  <c r="P691" i="1"/>
  <c r="Q691" i="1" s="1"/>
  <c r="R691" i="1" s="1"/>
  <c r="P687" i="1"/>
  <c r="Q687" i="1" s="1"/>
  <c r="R687" i="1" s="1"/>
  <c r="P683" i="1"/>
  <c r="Q683" i="1" s="1"/>
  <c r="R683" i="1" s="1"/>
  <c r="P679" i="1"/>
  <c r="Q679" i="1" s="1"/>
  <c r="R679" i="1" s="1"/>
  <c r="P675" i="1"/>
  <c r="Q675" i="1" s="1"/>
  <c r="R675" i="1" s="1"/>
  <c r="P671" i="1"/>
  <c r="Q671" i="1" s="1"/>
  <c r="R671" i="1" s="1"/>
  <c r="P667" i="1"/>
  <c r="Q667" i="1" s="1"/>
  <c r="R667" i="1" s="1"/>
  <c r="P663" i="1"/>
  <c r="Q663" i="1" s="1"/>
  <c r="R663" i="1" s="1"/>
  <c r="P659" i="1"/>
  <c r="Q659" i="1" s="1"/>
  <c r="R659" i="1" s="1"/>
  <c r="P655" i="1"/>
  <c r="Q655" i="1" s="1"/>
  <c r="R655" i="1" s="1"/>
  <c r="P651" i="1"/>
  <c r="Q651" i="1" s="1"/>
  <c r="R651" i="1" s="1"/>
  <c r="T651" i="1" s="1"/>
  <c r="P647" i="1"/>
  <c r="Q647" i="1" s="1"/>
  <c r="R647" i="1" s="1"/>
  <c r="T647" i="1" s="1"/>
  <c r="P643" i="1"/>
  <c r="Q643" i="1" s="1"/>
  <c r="R643" i="1" s="1"/>
  <c r="T643" i="1" s="1"/>
  <c r="P639" i="1"/>
  <c r="Q639" i="1" s="1"/>
  <c r="R639" i="1" s="1"/>
  <c r="T639" i="1" s="1"/>
  <c r="P635" i="1"/>
  <c r="Q635" i="1" s="1"/>
  <c r="R635" i="1" s="1"/>
  <c r="T635" i="1" s="1"/>
  <c r="P631" i="1"/>
  <c r="Q631" i="1" s="1"/>
  <c r="R631" i="1" s="1"/>
  <c r="T631" i="1" s="1"/>
  <c r="P627" i="1"/>
  <c r="Q627" i="1" s="1"/>
  <c r="R627" i="1" s="1"/>
  <c r="T627" i="1" s="1"/>
  <c r="P623" i="1"/>
  <c r="Q623" i="1" s="1"/>
  <c r="R623" i="1" s="1"/>
  <c r="T623" i="1" s="1"/>
  <c r="P619" i="1"/>
  <c r="Q619" i="1" s="1"/>
  <c r="R619" i="1" s="1"/>
  <c r="T619" i="1" s="1"/>
  <c r="P615" i="1"/>
  <c r="Q615" i="1" s="1"/>
  <c r="R615" i="1" s="1"/>
  <c r="T615" i="1" s="1"/>
  <c r="P611" i="1"/>
  <c r="Q611" i="1" s="1"/>
  <c r="R611" i="1" s="1"/>
  <c r="T611" i="1" s="1"/>
  <c r="P607" i="1"/>
  <c r="Q607" i="1" s="1"/>
  <c r="R607" i="1" s="1"/>
  <c r="T607" i="1" s="1"/>
  <c r="P603" i="1"/>
  <c r="Q603" i="1" s="1"/>
  <c r="R603" i="1" s="1"/>
  <c r="T603" i="1" s="1"/>
  <c r="P599" i="1"/>
  <c r="Q599" i="1" s="1"/>
  <c r="R599" i="1" s="1"/>
  <c r="T599" i="1" s="1"/>
  <c r="P595" i="1"/>
  <c r="Q595" i="1" s="1"/>
  <c r="R595" i="1" s="1"/>
  <c r="T595" i="1" s="1"/>
  <c r="P591" i="1"/>
  <c r="Q591" i="1" s="1"/>
  <c r="R591" i="1" s="1"/>
  <c r="T591" i="1" s="1"/>
  <c r="P587" i="1"/>
  <c r="Q587" i="1" s="1"/>
  <c r="R587" i="1" s="1"/>
  <c r="T587" i="1" s="1"/>
  <c r="P583" i="1"/>
  <c r="Q583" i="1" s="1"/>
  <c r="R583" i="1" s="1"/>
  <c r="T583" i="1" s="1"/>
  <c r="P579" i="1"/>
  <c r="Q579" i="1" s="1"/>
  <c r="R579" i="1" s="1"/>
  <c r="T579" i="1" s="1"/>
  <c r="S18" i="1" l="1"/>
  <c r="S6" i="1"/>
  <c r="S23" i="1"/>
  <c r="S499" i="1"/>
  <c r="S10" i="1"/>
  <c r="S14" i="1"/>
  <c r="S12" i="1"/>
  <c r="S22" i="1"/>
  <c r="S5" i="1"/>
  <c r="S8" i="1"/>
  <c r="Q26" i="1"/>
  <c r="R26" i="1" s="1"/>
  <c r="S27" i="1"/>
  <c r="S25" i="1"/>
  <c r="S16" i="1"/>
  <c r="S24" i="1"/>
  <c r="S7" i="1"/>
  <c r="S13" i="1"/>
  <c r="S19" i="1"/>
  <c r="S15" i="1"/>
  <c r="S21" i="1"/>
  <c r="S20" i="1"/>
  <c r="S17" i="1"/>
  <c r="S313" i="1"/>
  <c r="Q146" i="1"/>
  <c r="R146" i="1" s="1"/>
  <c r="T146" i="1" s="1"/>
  <c r="Q224" i="1"/>
  <c r="R224" i="1" s="1"/>
  <c r="T224" i="1" s="1"/>
  <c r="Q402" i="1"/>
  <c r="R402" i="1" s="1"/>
  <c r="T402" i="1" s="1"/>
  <c r="S183" i="1"/>
  <c r="Q448" i="1"/>
  <c r="R448" i="1" s="1"/>
  <c r="T448" i="1" s="1"/>
  <c r="Q73" i="1"/>
  <c r="R73" i="1" s="1"/>
  <c r="T73" i="1" s="1"/>
  <c r="Q466" i="1"/>
  <c r="R466" i="1" s="1"/>
  <c r="T466" i="1" s="1"/>
  <c r="S211" i="1"/>
  <c r="S377" i="1"/>
  <c r="Q66" i="1"/>
  <c r="R66" i="1" s="1"/>
  <c r="T66" i="1" s="1"/>
  <c r="S96" i="1"/>
  <c r="Q336" i="1"/>
  <c r="R336" i="1" s="1"/>
  <c r="T336" i="1" s="1"/>
  <c r="Q137" i="1"/>
  <c r="R137" i="1" s="1"/>
  <c r="T137" i="1" s="1"/>
  <c r="S441" i="1"/>
  <c r="Q274" i="1"/>
  <c r="R274" i="1" s="1"/>
  <c r="T274" i="1" s="1"/>
  <c r="S75" i="1"/>
  <c r="Q159" i="1"/>
  <c r="R159" i="1" s="1"/>
  <c r="T159" i="1" s="1"/>
  <c r="Q267" i="1"/>
  <c r="R267" i="1" s="1"/>
  <c r="T267" i="1" s="1"/>
  <c r="Q435" i="1"/>
  <c r="R435" i="1" s="1"/>
  <c r="T435" i="1" s="1"/>
  <c r="Q288" i="1"/>
  <c r="R288" i="1" s="1"/>
  <c r="T288" i="1" s="1"/>
  <c r="Q210" i="1"/>
  <c r="R210" i="1" s="1"/>
  <c r="T210" i="1" s="1"/>
  <c r="Q160" i="1"/>
  <c r="R160" i="1" s="1"/>
  <c r="T160" i="1" s="1"/>
  <c r="S384" i="1"/>
  <c r="S217" i="1"/>
  <c r="S82" i="1"/>
  <c r="Q338" i="1"/>
  <c r="R338" i="1" s="1"/>
  <c r="T338" i="1" s="1"/>
  <c r="Q123" i="1"/>
  <c r="R123" i="1" s="1"/>
  <c r="T123" i="1" s="1"/>
  <c r="S311" i="1"/>
  <c r="Q415" i="1"/>
  <c r="R415" i="1" s="1"/>
  <c r="T415" i="1" s="1"/>
  <c r="S467" i="1"/>
  <c r="Q41" i="1"/>
  <c r="R41" i="1" s="1"/>
  <c r="T41" i="1" s="1"/>
  <c r="Q39" i="1"/>
  <c r="R39" i="1" s="1"/>
  <c r="T39" i="1" s="1"/>
  <c r="Q112" i="1"/>
  <c r="R112" i="1" s="1"/>
  <c r="T112" i="1" s="1"/>
  <c r="Q400" i="1"/>
  <c r="R400" i="1" s="1"/>
  <c r="T400" i="1" s="1"/>
  <c r="S153" i="1"/>
  <c r="S249" i="1"/>
  <c r="Q329" i="1"/>
  <c r="R329" i="1" s="1"/>
  <c r="T329" i="1" s="1"/>
  <c r="Q393" i="1"/>
  <c r="R393" i="1" s="1"/>
  <c r="T393" i="1" s="1"/>
  <c r="Q457" i="1"/>
  <c r="R457" i="1" s="1"/>
  <c r="T457" i="1" s="1"/>
  <c r="Q98" i="1"/>
  <c r="R98" i="1" s="1"/>
  <c r="T98" i="1" s="1"/>
  <c r="Q87" i="1"/>
  <c r="R87" i="1" s="1"/>
  <c r="T87" i="1" s="1"/>
  <c r="Q195" i="1"/>
  <c r="R195" i="1" s="1"/>
  <c r="T195" i="1" s="1"/>
  <c r="Q231" i="1"/>
  <c r="R231" i="1" s="1"/>
  <c r="T231" i="1" s="1"/>
  <c r="Q351" i="1"/>
  <c r="R351" i="1" s="1"/>
  <c r="T351" i="1" s="1"/>
  <c r="Q395" i="1"/>
  <c r="R395" i="1" s="1"/>
  <c r="T395" i="1" s="1"/>
  <c r="Q451" i="1"/>
  <c r="R451" i="1" s="1"/>
  <c r="T451" i="1" s="1"/>
  <c r="Q483" i="1"/>
  <c r="R483" i="1" s="1"/>
  <c r="T483" i="1" s="1"/>
  <c r="Q57" i="1"/>
  <c r="R57" i="1" s="1"/>
  <c r="T57" i="1" s="1"/>
  <c r="S48" i="1"/>
  <c r="S128" i="1"/>
  <c r="Q192" i="1"/>
  <c r="R192" i="1" s="1"/>
  <c r="T192" i="1" s="1"/>
  <c r="Q256" i="1"/>
  <c r="R256" i="1" s="1"/>
  <c r="T256" i="1" s="1"/>
  <c r="S304" i="1"/>
  <c r="S352" i="1"/>
  <c r="S416" i="1"/>
  <c r="Q480" i="1"/>
  <c r="R480" i="1" s="1"/>
  <c r="T480" i="1" s="1"/>
  <c r="S89" i="1"/>
  <c r="S185" i="1"/>
  <c r="Q265" i="1"/>
  <c r="R265" i="1" s="1"/>
  <c r="T265" i="1" s="1"/>
  <c r="S345" i="1"/>
  <c r="S409" i="1"/>
  <c r="S473" i="1"/>
  <c r="S114" i="1"/>
  <c r="Q178" i="1"/>
  <c r="R178" i="1" s="1"/>
  <c r="T178" i="1" s="1"/>
  <c r="Q242" i="1"/>
  <c r="R242" i="1" s="1"/>
  <c r="T242" i="1" s="1"/>
  <c r="Q306" i="1"/>
  <c r="R306" i="1" s="1"/>
  <c r="T306" i="1" s="1"/>
  <c r="Q370" i="1"/>
  <c r="R370" i="1" s="1"/>
  <c r="T370" i="1" s="1"/>
  <c r="Q434" i="1"/>
  <c r="R434" i="1" s="1"/>
  <c r="T434" i="1" s="1"/>
  <c r="Q498" i="1"/>
  <c r="R498" i="1" s="1"/>
  <c r="T498" i="1" s="1"/>
  <c r="Q95" i="1"/>
  <c r="R95" i="1" s="1"/>
  <c r="T95" i="1" s="1"/>
  <c r="Q291" i="1"/>
  <c r="R291" i="1" s="1"/>
  <c r="T291" i="1" s="1"/>
  <c r="S331" i="1"/>
  <c r="Q371" i="1"/>
  <c r="R371" i="1" s="1"/>
  <c r="T371" i="1" s="1"/>
  <c r="Q407" i="1"/>
  <c r="R407" i="1" s="1"/>
  <c r="T407" i="1" s="1"/>
  <c r="Q50" i="1"/>
  <c r="R50" i="1" s="1"/>
  <c r="T50" i="1" s="1"/>
  <c r="S64" i="1"/>
  <c r="Q80" i="1"/>
  <c r="R80" i="1" s="1"/>
  <c r="T80" i="1" s="1"/>
  <c r="Q144" i="1"/>
  <c r="R144" i="1" s="1"/>
  <c r="T144" i="1" s="1"/>
  <c r="Q320" i="1"/>
  <c r="R320" i="1" s="1"/>
  <c r="T320" i="1" s="1"/>
  <c r="Q368" i="1"/>
  <c r="R368" i="1" s="1"/>
  <c r="T368" i="1" s="1"/>
  <c r="Q432" i="1"/>
  <c r="R432" i="1" s="1"/>
  <c r="T432" i="1" s="1"/>
  <c r="S121" i="1"/>
  <c r="Q201" i="1"/>
  <c r="R201" i="1" s="1"/>
  <c r="T201" i="1" s="1"/>
  <c r="S281" i="1"/>
  <c r="Q361" i="1"/>
  <c r="R361" i="1" s="1"/>
  <c r="T361" i="1" s="1"/>
  <c r="Q425" i="1"/>
  <c r="R425" i="1" s="1"/>
  <c r="T425" i="1" s="1"/>
  <c r="Q489" i="1"/>
  <c r="R489" i="1" s="1"/>
  <c r="T489" i="1" s="1"/>
  <c r="Q130" i="1"/>
  <c r="R130" i="1" s="1"/>
  <c r="T130" i="1" s="1"/>
  <c r="S243" i="1"/>
  <c r="Q335" i="1"/>
  <c r="R335" i="1" s="1"/>
  <c r="T335" i="1" s="1"/>
  <c r="Q51" i="1"/>
  <c r="R51" i="1" s="1"/>
  <c r="T51" i="1" s="1"/>
  <c r="S259" i="1"/>
  <c r="S403" i="1"/>
  <c r="Q9" i="1"/>
  <c r="R9" i="1" s="1"/>
  <c r="T9" i="1" s="1"/>
  <c r="Q138" i="1"/>
  <c r="R138" i="1" s="1"/>
  <c r="T138" i="1" s="1"/>
  <c r="Q343" i="1"/>
  <c r="R343" i="1" s="1"/>
  <c r="T343" i="1" s="1"/>
  <c r="Q105" i="1"/>
  <c r="R105" i="1" s="1"/>
  <c r="T105" i="1" s="1"/>
  <c r="Q169" i="1"/>
  <c r="R169" i="1" s="1"/>
  <c r="T169" i="1" s="1"/>
  <c r="Q233" i="1"/>
  <c r="R233" i="1" s="1"/>
  <c r="T233" i="1" s="1"/>
  <c r="Q297" i="1"/>
  <c r="R297" i="1" s="1"/>
  <c r="T297" i="1" s="1"/>
  <c r="Q32" i="1"/>
  <c r="R32" i="1" s="1"/>
  <c r="T32" i="1" s="1"/>
  <c r="Q55" i="1"/>
  <c r="R55" i="1" s="1"/>
  <c r="T55" i="1" s="1"/>
  <c r="Q176" i="1"/>
  <c r="R176" i="1" s="1"/>
  <c r="T176" i="1" s="1"/>
  <c r="Q208" i="1"/>
  <c r="R208" i="1" s="1"/>
  <c r="T208" i="1" s="1"/>
  <c r="Q240" i="1"/>
  <c r="R240" i="1" s="1"/>
  <c r="T240" i="1" s="1"/>
  <c r="Q272" i="1"/>
  <c r="R272" i="1" s="1"/>
  <c r="T272" i="1" s="1"/>
  <c r="Q300" i="1"/>
  <c r="R300" i="1" s="1"/>
  <c r="T300" i="1" s="1"/>
  <c r="S348" i="1"/>
  <c r="Q464" i="1"/>
  <c r="R464" i="1" s="1"/>
  <c r="T464" i="1" s="1"/>
  <c r="Q496" i="1"/>
  <c r="R496" i="1" s="1"/>
  <c r="T496" i="1" s="1"/>
  <c r="S85" i="1"/>
  <c r="Q162" i="1"/>
  <c r="R162" i="1" s="1"/>
  <c r="T162" i="1" s="1"/>
  <c r="Q194" i="1"/>
  <c r="R194" i="1" s="1"/>
  <c r="T194" i="1" s="1"/>
  <c r="Q226" i="1"/>
  <c r="R226" i="1" s="1"/>
  <c r="T226" i="1" s="1"/>
  <c r="Q258" i="1"/>
  <c r="R258" i="1" s="1"/>
  <c r="T258" i="1" s="1"/>
  <c r="Q290" i="1"/>
  <c r="R290" i="1" s="1"/>
  <c r="T290" i="1" s="1"/>
  <c r="Q322" i="1"/>
  <c r="R322" i="1" s="1"/>
  <c r="T322" i="1" s="1"/>
  <c r="Q354" i="1"/>
  <c r="R354" i="1" s="1"/>
  <c r="T354" i="1" s="1"/>
  <c r="Q386" i="1"/>
  <c r="R386" i="1" s="1"/>
  <c r="T386" i="1" s="1"/>
  <c r="Q418" i="1"/>
  <c r="R418" i="1" s="1"/>
  <c r="T418" i="1" s="1"/>
  <c r="Q450" i="1"/>
  <c r="R450" i="1" s="1"/>
  <c r="T450" i="1" s="1"/>
  <c r="Q482" i="1"/>
  <c r="R482" i="1" s="1"/>
  <c r="T482" i="1" s="1"/>
  <c r="Q71" i="1"/>
  <c r="R71" i="1" s="1"/>
  <c r="T71" i="1" s="1"/>
  <c r="Q115" i="1"/>
  <c r="R115" i="1" s="1"/>
  <c r="T115" i="1" s="1"/>
  <c r="Q127" i="1"/>
  <c r="R127" i="1" s="1"/>
  <c r="T127" i="1" s="1"/>
  <c r="Q155" i="1"/>
  <c r="R155" i="1" s="1"/>
  <c r="T155" i="1" s="1"/>
  <c r="S175" i="1"/>
  <c r="Q187" i="1"/>
  <c r="R187" i="1" s="1"/>
  <c r="T187" i="1" s="1"/>
  <c r="Q207" i="1"/>
  <c r="R207" i="1" s="1"/>
  <c r="T207" i="1" s="1"/>
  <c r="Q223" i="1"/>
  <c r="R223" i="1" s="1"/>
  <c r="T223" i="1" s="1"/>
  <c r="Q235" i="1"/>
  <c r="R235" i="1" s="1"/>
  <c r="T235" i="1" s="1"/>
  <c r="Q263" i="1"/>
  <c r="R263" i="1" s="1"/>
  <c r="T263" i="1" s="1"/>
  <c r="Q271" i="1"/>
  <c r="R271" i="1" s="1"/>
  <c r="T271" i="1" s="1"/>
  <c r="Q307" i="1"/>
  <c r="R307" i="1" s="1"/>
  <c r="T307" i="1" s="1"/>
  <c r="S327" i="1"/>
  <c r="S387" i="1"/>
  <c r="Q411" i="1"/>
  <c r="R411" i="1" s="1"/>
  <c r="T411" i="1" s="1"/>
  <c r="Q463" i="1"/>
  <c r="R463" i="1" s="1"/>
  <c r="T463" i="1" s="1"/>
  <c r="Q479" i="1"/>
  <c r="R479" i="1" s="1"/>
  <c r="T479" i="1" s="1"/>
  <c r="Q495" i="1"/>
  <c r="R495" i="1" s="1"/>
  <c r="T495" i="1" s="1"/>
  <c r="S564" i="1"/>
  <c r="Q34" i="1"/>
  <c r="R34" i="1" s="1"/>
  <c r="T34" i="1" s="1"/>
  <c r="Q35" i="1"/>
  <c r="R35" i="1" s="1"/>
  <c r="T35" i="1" s="1"/>
  <c r="Q63" i="1"/>
  <c r="R63" i="1" s="1"/>
  <c r="T63" i="1" s="1"/>
  <c r="Q156" i="1"/>
  <c r="R156" i="1" s="1"/>
  <c r="T156" i="1" s="1"/>
  <c r="Q332" i="1"/>
  <c r="R332" i="1" s="1"/>
  <c r="T332" i="1" s="1"/>
  <c r="Q444" i="1"/>
  <c r="R444" i="1" s="1"/>
  <c r="T444" i="1" s="1"/>
  <c r="Q91" i="1"/>
  <c r="R91" i="1" s="1"/>
  <c r="T91" i="1" s="1"/>
  <c r="S119" i="1"/>
  <c r="Q367" i="1"/>
  <c r="R367" i="1" s="1"/>
  <c r="T367" i="1" s="1"/>
  <c r="S447" i="1"/>
  <c r="S213" i="1"/>
  <c r="S442" i="1"/>
  <c r="Q472" i="1"/>
  <c r="R472" i="1" s="1"/>
  <c r="T472" i="1" s="1"/>
  <c r="Q90" i="1"/>
  <c r="R90" i="1" s="1"/>
  <c r="T90" i="1" s="1"/>
  <c r="Q152" i="1"/>
  <c r="R152" i="1" s="1"/>
  <c r="T152" i="1" s="1"/>
  <c r="S236" i="1"/>
  <c r="S341" i="1"/>
  <c r="S287" i="1"/>
  <c r="Q344" i="1"/>
  <c r="R344" i="1" s="1"/>
  <c r="T344" i="1" s="1"/>
  <c r="S469" i="1"/>
  <c r="Q31" i="1"/>
  <c r="R31" i="1" s="1"/>
  <c r="T31" i="1" s="1"/>
  <c r="Q266" i="1"/>
  <c r="R266" i="1" s="1"/>
  <c r="T266" i="1" s="1"/>
  <c r="Q218" i="1"/>
  <c r="R218" i="1" s="1"/>
  <c r="T218" i="1" s="1"/>
  <c r="Q111" i="1"/>
  <c r="R111" i="1" s="1"/>
  <c r="T111" i="1" s="1"/>
  <c r="S139" i="1"/>
  <c r="Q215" i="1"/>
  <c r="R215" i="1" s="1"/>
  <c r="T215" i="1" s="1"/>
  <c r="Q122" i="1"/>
  <c r="R122" i="1" s="1"/>
  <c r="T122" i="1" s="1"/>
  <c r="Q394" i="1"/>
  <c r="R394" i="1" s="1"/>
  <c r="T394" i="1" s="1"/>
  <c r="Q167" i="1"/>
  <c r="R167" i="1" s="1"/>
  <c r="T167" i="1" s="1"/>
  <c r="Q255" i="1"/>
  <c r="R255" i="1" s="1"/>
  <c r="T255" i="1" s="1"/>
  <c r="S323" i="1"/>
  <c r="Q375" i="1"/>
  <c r="R375" i="1" s="1"/>
  <c r="T375" i="1" s="1"/>
  <c r="S443" i="1"/>
  <c r="Q47" i="1"/>
  <c r="R47" i="1" s="1"/>
  <c r="T47" i="1" s="1"/>
  <c r="S92" i="1"/>
  <c r="S380" i="1"/>
  <c r="Q157" i="1"/>
  <c r="R157" i="1" s="1"/>
  <c r="T157" i="1" s="1"/>
  <c r="S269" i="1"/>
  <c r="Q106" i="1"/>
  <c r="R106" i="1" s="1"/>
  <c r="T106" i="1" s="1"/>
  <c r="Q234" i="1"/>
  <c r="R234" i="1" s="1"/>
  <c r="T234" i="1" s="1"/>
  <c r="S314" i="1"/>
  <c r="S227" i="1"/>
  <c r="Q295" i="1"/>
  <c r="R295" i="1" s="1"/>
  <c r="T295" i="1" s="1"/>
  <c r="S459" i="1"/>
  <c r="Q43" i="1"/>
  <c r="R43" i="1" s="1"/>
  <c r="T43" i="1" s="1"/>
  <c r="Q59" i="1"/>
  <c r="R59" i="1" s="1"/>
  <c r="T59" i="1" s="1"/>
  <c r="S251" i="1"/>
  <c r="S339" i="1"/>
  <c r="S419" i="1"/>
  <c r="S52" i="1"/>
  <c r="S246" i="1"/>
  <c r="S299" i="1"/>
  <c r="S379" i="1"/>
  <c r="S141" i="1"/>
  <c r="Q42" i="1"/>
  <c r="R42" i="1" s="1"/>
  <c r="T42" i="1" s="1"/>
  <c r="Q413" i="1"/>
  <c r="R413" i="1" s="1"/>
  <c r="T413" i="1" s="1"/>
  <c r="S74" i="1"/>
  <c r="S202" i="1"/>
  <c r="Q250" i="1"/>
  <c r="R250" i="1" s="1"/>
  <c r="T250" i="1" s="1"/>
  <c r="Q346" i="1"/>
  <c r="R346" i="1" s="1"/>
  <c r="T346" i="1" s="1"/>
  <c r="Q362" i="1"/>
  <c r="R362" i="1" s="1"/>
  <c r="T362" i="1" s="1"/>
  <c r="Q378" i="1"/>
  <c r="R378" i="1" s="1"/>
  <c r="T378" i="1" s="1"/>
  <c r="Q474" i="1"/>
  <c r="R474" i="1" s="1"/>
  <c r="T474" i="1" s="1"/>
  <c r="Q490" i="1"/>
  <c r="R490" i="1" s="1"/>
  <c r="T490" i="1" s="1"/>
  <c r="S502" i="1"/>
  <c r="S99" i="1"/>
  <c r="Q143" i="1"/>
  <c r="R143" i="1" s="1"/>
  <c r="T143" i="1" s="1"/>
  <c r="S275" i="1"/>
  <c r="Q303" i="1"/>
  <c r="R303" i="1" s="1"/>
  <c r="T303" i="1" s="1"/>
  <c r="S355" i="1"/>
  <c r="Q383" i="1"/>
  <c r="R383" i="1" s="1"/>
  <c r="T383" i="1" s="1"/>
  <c r="S475" i="1"/>
  <c r="S171" i="1"/>
  <c r="S219" i="1"/>
  <c r="Q148" i="1"/>
  <c r="R148" i="1" s="1"/>
  <c r="T148" i="1" s="1"/>
  <c r="Q285" i="1"/>
  <c r="R285" i="1" s="1"/>
  <c r="T285" i="1" s="1"/>
  <c r="S397" i="1"/>
  <c r="S186" i="1"/>
  <c r="S330" i="1"/>
  <c r="S458" i="1"/>
  <c r="S83" i="1"/>
  <c r="S107" i="1"/>
  <c r="S163" i="1"/>
  <c r="Q199" i="1"/>
  <c r="R199" i="1" s="1"/>
  <c r="T199" i="1" s="1"/>
  <c r="Q247" i="1"/>
  <c r="R247" i="1" s="1"/>
  <c r="T247" i="1" s="1"/>
  <c r="S283" i="1"/>
  <c r="S363" i="1"/>
  <c r="S427" i="1"/>
  <c r="S491" i="1"/>
  <c r="Q76" i="1"/>
  <c r="R76" i="1" s="1"/>
  <c r="T76" i="1" s="1"/>
  <c r="S124" i="1"/>
  <c r="Q188" i="1"/>
  <c r="R188" i="1" s="1"/>
  <c r="T188" i="1" s="1"/>
  <c r="S268" i="1"/>
  <c r="S492" i="1"/>
  <c r="S149" i="1"/>
  <c r="S245" i="1"/>
  <c r="S309" i="1"/>
  <c r="S405" i="1"/>
  <c r="S501" i="1"/>
  <c r="S118" i="1"/>
  <c r="Q324" i="1"/>
  <c r="R324" i="1" s="1"/>
  <c r="T324" i="1" s="1"/>
  <c r="S356" i="1"/>
  <c r="Q412" i="1"/>
  <c r="R412" i="1" s="1"/>
  <c r="T412" i="1" s="1"/>
  <c r="S452" i="1"/>
  <c r="S117" i="1"/>
  <c r="S181" i="1"/>
  <c r="S277" i="1"/>
  <c r="S373" i="1"/>
  <c r="S437" i="1"/>
  <c r="S374" i="1"/>
  <c r="S131" i="1"/>
  <c r="S203" i="1"/>
  <c r="S116" i="1"/>
  <c r="S212" i="1"/>
  <c r="Q228" i="1"/>
  <c r="R228" i="1" s="1"/>
  <c r="T228" i="1" s="1"/>
  <c r="S292" i="1"/>
  <c r="Q308" i="1"/>
  <c r="R308" i="1" s="1"/>
  <c r="T308" i="1" s="1"/>
  <c r="S125" i="1"/>
  <c r="S253" i="1"/>
  <c r="S381" i="1"/>
  <c r="S278" i="1"/>
  <c r="Q79" i="1"/>
  <c r="R79" i="1" s="1"/>
  <c r="T79" i="1" s="1"/>
  <c r="Q103" i="1"/>
  <c r="R103" i="1" s="1"/>
  <c r="T103" i="1" s="1"/>
  <c r="Q135" i="1"/>
  <c r="R135" i="1" s="1"/>
  <c r="T135" i="1" s="1"/>
  <c r="Q191" i="1"/>
  <c r="R191" i="1" s="1"/>
  <c r="T191" i="1" s="1"/>
  <c r="Q239" i="1"/>
  <c r="R239" i="1" s="1"/>
  <c r="T239" i="1" s="1"/>
  <c r="Q279" i="1"/>
  <c r="R279" i="1" s="1"/>
  <c r="T279" i="1" s="1"/>
  <c r="Q319" i="1"/>
  <c r="R319" i="1" s="1"/>
  <c r="T319" i="1" s="1"/>
  <c r="Q359" i="1"/>
  <c r="R359" i="1" s="1"/>
  <c r="T359" i="1" s="1"/>
  <c r="Q399" i="1"/>
  <c r="R399" i="1" s="1"/>
  <c r="T399" i="1" s="1"/>
  <c r="Q439" i="1"/>
  <c r="R439" i="1" s="1"/>
  <c r="T439" i="1" s="1"/>
  <c r="Q455" i="1"/>
  <c r="R455" i="1" s="1"/>
  <c r="T455" i="1" s="1"/>
  <c r="Q471" i="1"/>
  <c r="R471" i="1" s="1"/>
  <c r="T471" i="1" s="1"/>
  <c r="Q487" i="1"/>
  <c r="R487" i="1" s="1"/>
  <c r="T487" i="1" s="1"/>
  <c r="Q503" i="1"/>
  <c r="R503" i="1" s="1"/>
  <c r="T503" i="1" s="1"/>
  <c r="Q58" i="1"/>
  <c r="R58" i="1" s="1"/>
  <c r="T58" i="1" s="1"/>
  <c r="Q67" i="1"/>
  <c r="R67" i="1" s="1"/>
  <c r="T67" i="1" s="1"/>
  <c r="Q36" i="1"/>
  <c r="R36" i="1" s="1"/>
  <c r="T36" i="1" s="1"/>
  <c r="Q68" i="1"/>
  <c r="R68" i="1" s="1"/>
  <c r="T68" i="1" s="1"/>
  <c r="Q88" i="1"/>
  <c r="R88" i="1" s="1"/>
  <c r="T88" i="1" s="1"/>
  <c r="S100" i="1"/>
  <c r="S196" i="1"/>
  <c r="Q216" i="1"/>
  <c r="R216" i="1" s="1"/>
  <c r="T216" i="1" s="1"/>
  <c r="Q280" i="1"/>
  <c r="R280" i="1" s="1"/>
  <c r="T280" i="1" s="1"/>
  <c r="Q404" i="1"/>
  <c r="R404" i="1" s="1"/>
  <c r="T404" i="1" s="1"/>
  <c r="Q154" i="1"/>
  <c r="R154" i="1" s="1"/>
  <c r="T154" i="1" s="1"/>
  <c r="Q170" i="1"/>
  <c r="R170" i="1" s="1"/>
  <c r="T170" i="1" s="1"/>
  <c r="S182" i="1"/>
  <c r="Q282" i="1"/>
  <c r="R282" i="1" s="1"/>
  <c r="T282" i="1" s="1"/>
  <c r="Q298" i="1"/>
  <c r="R298" i="1" s="1"/>
  <c r="T298" i="1" s="1"/>
  <c r="S310" i="1"/>
  <c r="Q410" i="1"/>
  <c r="R410" i="1" s="1"/>
  <c r="T410" i="1" s="1"/>
  <c r="Q426" i="1"/>
  <c r="R426" i="1" s="1"/>
  <c r="T426" i="1" s="1"/>
  <c r="S438" i="1"/>
  <c r="Q132" i="1"/>
  <c r="R132" i="1" s="1"/>
  <c r="T132" i="1" s="1"/>
  <c r="S150" i="1"/>
  <c r="S406" i="1"/>
  <c r="S372" i="1"/>
  <c r="Q388" i="1"/>
  <c r="R388" i="1" s="1"/>
  <c r="T388" i="1" s="1"/>
  <c r="Q408" i="1"/>
  <c r="R408" i="1" s="1"/>
  <c r="T408" i="1" s="1"/>
  <c r="S468" i="1"/>
  <c r="Q484" i="1"/>
  <c r="R484" i="1" s="1"/>
  <c r="T484" i="1" s="1"/>
  <c r="Q173" i="1"/>
  <c r="R173" i="1" s="1"/>
  <c r="T173" i="1" s="1"/>
  <c r="Q301" i="1"/>
  <c r="R301" i="1" s="1"/>
  <c r="T301" i="1" s="1"/>
  <c r="Q429" i="1"/>
  <c r="R429" i="1" s="1"/>
  <c r="T429" i="1" s="1"/>
  <c r="S86" i="1"/>
  <c r="S214" i="1"/>
  <c r="S342" i="1"/>
  <c r="S470" i="1"/>
  <c r="Q61" i="1"/>
  <c r="R61" i="1" s="1"/>
  <c r="T61" i="1" s="1"/>
  <c r="Q54" i="1"/>
  <c r="R54" i="1" s="1"/>
  <c r="T54" i="1" s="1"/>
  <c r="Q84" i="1"/>
  <c r="R84" i="1" s="1"/>
  <c r="T84" i="1" s="1"/>
  <c r="Q244" i="1"/>
  <c r="R244" i="1" s="1"/>
  <c r="T244" i="1" s="1"/>
  <c r="Q260" i="1"/>
  <c r="R260" i="1" s="1"/>
  <c r="T260" i="1" s="1"/>
  <c r="Q340" i="1"/>
  <c r="R340" i="1" s="1"/>
  <c r="T340" i="1" s="1"/>
  <c r="Q500" i="1"/>
  <c r="R500" i="1" s="1"/>
  <c r="T500" i="1" s="1"/>
  <c r="Q77" i="1"/>
  <c r="R77" i="1" s="1"/>
  <c r="T77" i="1" s="1"/>
  <c r="Q189" i="1"/>
  <c r="R189" i="1" s="1"/>
  <c r="T189" i="1" s="1"/>
  <c r="Q205" i="1"/>
  <c r="R205" i="1" s="1"/>
  <c r="T205" i="1" s="1"/>
  <c r="Q317" i="1"/>
  <c r="R317" i="1" s="1"/>
  <c r="T317" i="1" s="1"/>
  <c r="Q333" i="1"/>
  <c r="R333" i="1" s="1"/>
  <c r="T333" i="1" s="1"/>
  <c r="Q445" i="1"/>
  <c r="R445" i="1" s="1"/>
  <c r="T445" i="1" s="1"/>
  <c r="Q461" i="1"/>
  <c r="R461" i="1" s="1"/>
  <c r="T461" i="1" s="1"/>
  <c r="Q70" i="1"/>
  <c r="R70" i="1" s="1"/>
  <c r="T70" i="1" s="1"/>
  <c r="Q102" i="1"/>
  <c r="R102" i="1" s="1"/>
  <c r="T102" i="1" s="1"/>
  <c r="Q134" i="1"/>
  <c r="R134" i="1" s="1"/>
  <c r="T134" i="1" s="1"/>
  <c r="Q166" i="1"/>
  <c r="R166" i="1" s="1"/>
  <c r="T166" i="1" s="1"/>
  <c r="Q198" i="1"/>
  <c r="R198" i="1" s="1"/>
  <c r="T198" i="1" s="1"/>
  <c r="Q230" i="1"/>
  <c r="R230" i="1" s="1"/>
  <c r="T230" i="1" s="1"/>
  <c r="Q262" i="1"/>
  <c r="R262" i="1" s="1"/>
  <c r="T262" i="1" s="1"/>
  <c r="Q294" i="1"/>
  <c r="R294" i="1" s="1"/>
  <c r="T294" i="1" s="1"/>
  <c r="Q326" i="1"/>
  <c r="R326" i="1" s="1"/>
  <c r="T326" i="1" s="1"/>
  <c r="Q358" i="1"/>
  <c r="R358" i="1" s="1"/>
  <c r="T358" i="1" s="1"/>
  <c r="Q390" i="1"/>
  <c r="R390" i="1" s="1"/>
  <c r="T390" i="1" s="1"/>
  <c r="Q422" i="1"/>
  <c r="R422" i="1" s="1"/>
  <c r="T422" i="1" s="1"/>
  <c r="Q454" i="1"/>
  <c r="R454" i="1" s="1"/>
  <c r="T454" i="1" s="1"/>
  <c r="Q486" i="1"/>
  <c r="R486" i="1" s="1"/>
  <c r="T486" i="1" s="1"/>
  <c r="Q38" i="1"/>
  <c r="R38" i="1" s="1"/>
  <c r="T38" i="1" s="1"/>
  <c r="Q164" i="1"/>
  <c r="R164" i="1" s="1"/>
  <c r="T164" i="1" s="1"/>
  <c r="Q180" i="1"/>
  <c r="R180" i="1" s="1"/>
  <c r="T180" i="1" s="1"/>
  <c r="Q276" i="1"/>
  <c r="R276" i="1" s="1"/>
  <c r="T276" i="1" s="1"/>
  <c r="Q420" i="1"/>
  <c r="R420" i="1" s="1"/>
  <c r="T420" i="1" s="1"/>
  <c r="Q436" i="1"/>
  <c r="R436" i="1" s="1"/>
  <c r="T436" i="1" s="1"/>
  <c r="Q93" i="1"/>
  <c r="R93" i="1" s="1"/>
  <c r="T93" i="1" s="1"/>
  <c r="Q109" i="1"/>
  <c r="R109" i="1" s="1"/>
  <c r="T109" i="1" s="1"/>
  <c r="Q221" i="1"/>
  <c r="R221" i="1" s="1"/>
  <c r="T221" i="1" s="1"/>
  <c r="Q237" i="1"/>
  <c r="R237" i="1" s="1"/>
  <c r="T237" i="1" s="1"/>
  <c r="Q349" i="1"/>
  <c r="R349" i="1" s="1"/>
  <c r="T349" i="1" s="1"/>
  <c r="Q365" i="1"/>
  <c r="R365" i="1" s="1"/>
  <c r="T365" i="1" s="1"/>
  <c r="Q477" i="1"/>
  <c r="R477" i="1" s="1"/>
  <c r="T477" i="1" s="1"/>
  <c r="Q493" i="1"/>
  <c r="R493" i="1" s="1"/>
  <c r="T493" i="1" s="1"/>
  <c r="Q504" i="1"/>
  <c r="R504" i="1" s="1"/>
  <c r="T504" i="1" s="1"/>
  <c r="Q45" i="1"/>
  <c r="R45" i="1" s="1"/>
  <c r="T45" i="1" s="1"/>
  <c r="S526" i="1"/>
  <c r="Q46" i="1"/>
  <c r="R46" i="1" s="1"/>
  <c r="T46" i="1" s="1"/>
  <c r="Q62" i="1"/>
  <c r="R62" i="1" s="1"/>
  <c r="T62" i="1" s="1"/>
  <c r="Q44" i="1"/>
  <c r="R44" i="1" s="1"/>
  <c r="T44" i="1" s="1"/>
  <c r="Q108" i="1"/>
  <c r="R108" i="1" s="1"/>
  <c r="T108" i="1" s="1"/>
  <c r="Q140" i="1"/>
  <c r="R140" i="1" s="1"/>
  <c r="T140" i="1" s="1"/>
  <c r="Q220" i="1"/>
  <c r="R220" i="1" s="1"/>
  <c r="T220" i="1" s="1"/>
  <c r="Q252" i="1"/>
  <c r="R252" i="1" s="1"/>
  <c r="T252" i="1" s="1"/>
  <c r="Q364" i="1"/>
  <c r="R364" i="1" s="1"/>
  <c r="T364" i="1" s="1"/>
  <c r="Q396" i="1"/>
  <c r="R396" i="1" s="1"/>
  <c r="T396" i="1" s="1"/>
  <c r="Q476" i="1"/>
  <c r="R476" i="1" s="1"/>
  <c r="T476" i="1" s="1"/>
  <c r="Q69" i="1"/>
  <c r="R69" i="1" s="1"/>
  <c r="T69" i="1" s="1"/>
  <c r="Q101" i="1"/>
  <c r="R101" i="1" s="1"/>
  <c r="T101" i="1" s="1"/>
  <c r="Q133" i="1"/>
  <c r="R133" i="1" s="1"/>
  <c r="T133" i="1" s="1"/>
  <c r="Q165" i="1"/>
  <c r="R165" i="1" s="1"/>
  <c r="T165" i="1" s="1"/>
  <c r="Q197" i="1"/>
  <c r="R197" i="1" s="1"/>
  <c r="T197" i="1" s="1"/>
  <c r="Q229" i="1"/>
  <c r="R229" i="1" s="1"/>
  <c r="T229" i="1" s="1"/>
  <c r="Q261" i="1"/>
  <c r="R261" i="1" s="1"/>
  <c r="T261" i="1" s="1"/>
  <c r="Q293" i="1"/>
  <c r="R293" i="1" s="1"/>
  <c r="T293" i="1" s="1"/>
  <c r="Q325" i="1"/>
  <c r="R325" i="1" s="1"/>
  <c r="T325" i="1" s="1"/>
  <c r="Q357" i="1"/>
  <c r="R357" i="1" s="1"/>
  <c r="T357" i="1" s="1"/>
  <c r="Q389" i="1"/>
  <c r="R389" i="1" s="1"/>
  <c r="T389" i="1" s="1"/>
  <c r="Q421" i="1"/>
  <c r="R421" i="1" s="1"/>
  <c r="T421" i="1" s="1"/>
  <c r="Q453" i="1"/>
  <c r="R453" i="1" s="1"/>
  <c r="T453" i="1" s="1"/>
  <c r="Q485" i="1"/>
  <c r="R485" i="1" s="1"/>
  <c r="T485" i="1" s="1"/>
  <c r="Q78" i="1"/>
  <c r="R78" i="1" s="1"/>
  <c r="T78" i="1" s="1"/>
  <c r="Q94" i="1"/>
  <c r="R94" i="1" s="1"/>
  <c r="T94" i="1" s="1"/>
  <c r="Q110" i="1"/>
  <c r="R110" i="1" s="1"/>
  <c r="T110" i="1" s="1"/>
  <c r="Q126" i="1"/>
  <c r="R126" i="1" s="1"/>
  <c r="T126" i="1" s="1"/>
  <c r="Q142" i="1"/>
  <c r="R142" i="1" s="1"/>
  <c r="T142" i="1" s="1"/>
  <c r="Q158" i="1"/>
  <c r="R158" i="1" s="1"/>
  <c r="T158" i="1" s="1"/>
  <c r="Q174" i="1"/>
  <c r="R174" i="1" s="1"/>
  <c r="T174" i="1" s="1"/>
  <c r="Q190" i="1"/>
  <c r="R190" i="1" s="1"/>
  <c r="T190" i="1" s="1"/>
  <c r="Q206" i="1"/>
  <c r="R206" i="1" s="1"/>
  <c r="T206" i="1" s="1"/>
  <c r="Q222" i="1"/>
  <c r="R222" i="1" s="1"/>
  <c r="T222" i="1" s="1"/>
  <c r="Q238" i="1"/>
  <c r="R238" i="1" s="1"/>
  <c r="T238" i="1" s="1"/>
  <c r="Q254" i="1"/>
  <c r="R254" i="1" s="1"/>
  <c r="T254" i="1" s="1"/>
  <c r="Q270" i="1"/>
  <c r="R270" i="1" s="1"/>
  <c r="T270" i="1" s="1"/>
  <c r="Q286" i="1"/>
  <c r="R286" i="1" s="1"/>
  <c r="T286" i="1" s="1"/>
  <c r="Q302" i="1"/>
  <c r="R302" i="1" s="1"/>
  <c r="T302" i="1" s="1"/>
  <c r="Q318" i="1"/>
  <c r="R318" i="1" s="1"/>
  <c r="T318" i="1" s="1"/>
  <c r="Q334" i="1"/>
  <c r="R334" i="1" s="1"/>
  <c r="T334" i="1" s="1"/>
  <c r="Q350" i="1"/>
  <c r="R350" i="1" s="1"/>
  <c r="T350" i="1" s="1"/>
  <c r="Q366" i="1"/>
  <c r="R366" i="1" s="1"/>
  <c r="T366" i="1" s="1"/>
  <c r="Q382" i="1"/>
  <c r="R382" i="1" s="1"/>
  <c r="T382" i="1" s="1"/>
  <c r="Q398" i="1"/>
  <c r="R398" i="1" s="1"/>
  <c r="T398" i="1" s="1"/>
  <c r="Q414" i="1"/>
  <c r="R414" i="1" s="1"/>
  <c r="T414" i="1" s="1"/>
  <c r="Q430" i="1"/>
  <c r="R430" i="1" s="1"/>
  <c r="T430" i="1" s="1"/>
  <c r="Q446" i="1"/>
  <c r="R446" i="1" s="1"/>
  <c r="T446" i="1" s="1"/>
  <c r="Q462" i="1"/>
  <c r="R462" i="1" s="1"/>
  <c r="T462" i="1" s="1"/>
  <c r="Q478" i="1"/>
  <c r="R478" i="1" s="1"/>
  <c r="T478" i="1" s="1"/>
  <c r="Q494" i="1"/>
  <c r="R494" i="1" s="1"/>
  <c r="T494" i="1" s="1"/>
  <c r="Q53" i="1"/>
  <c r="R53" i="1" s="1"/>
  <c r="T53" i="1" s="1"/>
  <c r="Q60" i="1"/>
  <c r="R60" i="1" s="1"/>
  <c r="T60" i="1" s="1"/>
  <c r="Q172" i="1"/>
  <c r="R172" i="1" s="1"/>
  <c r="T172" i="1" s="1"/>
  <c r="Q204" i="1"/>
  <c r="R204" i="1" s="1"/>
  <c r="T204" i="1" s="1"/>
  <c r="Q284" i="1"/>
  <c r="R284" i="1" s="1"/>
  <c r="T284" i="1" s="1"/>
  <c r="Q316" i="1"/>
  <c r="R316" i="1" s="1"/>
  <c r="T316" i="1" s="1"/>
  <c r="Q428" i="1"/>
  <c r="R428" i="1" s="1"/>
  <c r="T428" i="1" s="1"/>
  <c r="Q460" i="1"/>
  <c r="R460" i="1" s="1"/>
  <c r="T460" i="1" s="1"/>
  <c r="Q37" i="1"/>
  <c r="R37" i="1" s="1"/>
  <c r="T37" i="1" s="1"/>
  <c r="Q72" i="1"/>
  <c r="R72" i="1" s="1"/>
  <c r="T72" i="1" s="1"/>
  <c r="Q136" i="1"/>
  <c r="R136" i="1" s="1"/>
  <c r="T136" i="1" s="1"/>
  <c r="Q200" i="1"/>
  <c r="R200" i="1" s="1"/>
  <c r="T200" i="1" s="1"/>
  <c r="Q264" i="1"/>
  <c r="R264" i="1" s="1"/>
  <c r="T264" i="1" s="1"/>
  <c r="Q328" i="1"/>
  <c r="R328" i="1" s="1"/>
  <c r="T328" i="1" s="1"/>
  <c r="Q392" i="1"/>
  <c r="R392" i="1" s="1"/>
  <c r="T392" i="1" s="1"/>
  <c r="Q456" i="1"/>
  <c r="R456" i="1" s="1"/>
  <c r="T456" i="1" s="1"/>
  <c r="Q120" i="1"/>
  <c r="R120" i="1" s="1"/>
  <c r="T120" i="1" s="1"/>
  <c r="Q184" i="1"/>
  <c r="R184" i="1" s="1"/>
  <c r="T184" i="1" s="1"/>
  <c r="Q248" i="1"/>
  <c r="R248" i="1" s="1"/>
  <c r="T248" i="1" s="1"/>
  <c r="Q312" i="1"/>
  <c r="R312" i="1" s="1"/>
  <c r="T312" i="1" s="1"/>
  <c r="Q376" i="1"/>
  <c r="R376" i="1" s="1"/>
  <c r="T376" i="1" s="1"/>
  <c r="Q440" i="1"/>
  <c r="R440" i="1" s="1"/>
  <c r="T440" i="1" s="1"/>
  <c r="Q104" i="1"/>
  <c r="R104" i="1" s="1"/>
  <c r="T104" i="1" s="1"/>
  <c r="Q168" i="1"/>
  <c r="R168" i="1" s="1"/>
  <c r="T168" i="1" s="1"/>
  <c r="Q232" i="1"/>
  <c r="R232" i="1" s="1"/>
  <c r="T232" i="1" s="1"/>
  <c r="Q296" i="1"/>
  <c r="R296" i="1" s="1"/>
  <c r="T296" i="1" s="1"/>
  <c r="Q360" i="1"/>
  <c r="R360" i="1" s="1"/>
  <c r="T360" i="1" s="1"/>
  <c r="Q424" i="1"/>
  <c r="R424" i="1" s="1"/>
  <c r="T424" i="1" s="1"/>
  <c r="Q488" i="1"/>
  <c r="R488" i="1" s="1"/>
  <c r="T488" i="1" s="1"/>
  <c r="Q33" i="1"/>
  <c r="R33" i="1" s="1"/>
  <c r="T33" i="1" s="1"/>
  <c r="Q49" i="1"/>
  <c r="R49" i="1" s="1"/>
  <c r="T49" i="1" s="1"/>
  <c r="Q65" i="1"/>
  <c r="R65" i="1" s="1"/>
  <c r="T65" i="1" s="1"/>
  <c r="S56" i="1"/>
  <c r="Q81" i="1"/>
  <c r="R81" i="1" s="1"/>
  <c r="T81" i="1" s="1"/>
  <c r="Q97" i="1"/>
  <c r="R97" i="1" s="1"/>
  <c r="T97" i="1" s="1"/>
  <c r="Q113" i="1"/>
  <c r="R113" i="1" s="1"/>
  <c r="T113" i="1" s="1"/>
  <c r="Q129" i="1"/>
  <c r="R129" i="1" s="1"/>
  <c r="T129" i="1" s="1"/>
  <c r="Q145" i="1"/>
  <c r="R145" i="1" s="1"/>
  <c r="T145" i="1" s="1"/>
  <c r="Q161" i="1"/>
  <c r="R161" i="1" s="1"/>
  <c r="T161" i="1" s="1"/>
  <c r="Q177" i="1"/>
  <c r="R177" i="1" s="1"/>
  <c r="T177" i="1" s="1"/>
  <c r="Q193" i="1"/>
  <c r="R193" i="1" s="1"/>
  <c r="T193" i="1" s="1"/>
  <c r="Q209" i="1"/>
  <c r="R209" i="1" s="1"/>
  <c r="T209" i="1" s="1"/>
  <c r="Q225" i="1"/>
  <c r="R225" i="1" s="1"/>
  <c r="T225" i="1" s="1"/>
  <c r="Q241" i="1"/>
  <c r="R241" i="1" s="1"/>
  <c r="T241" i="1" s="1"/>
  <c r="Q257" i="1"/>
  <c r="R257" i="1" s="1"/>
  <c r="T257" i="1" s="1"/>
  <c r="Q273" i="1"/>
  <c r="R273" i="1" s="1"/>
  <c r="T273" i="1" s="1"/>
  <c r="Q289" i="1"/>
  <c r="R289" i="1" s="1"/>
  <c r="T289" i="1" s="1"/>
  <c r="Q305" i="1"/>
  <c r="R305" i="1" s="1"/>
  <c r="T305" i="1" s="1"/>
  <c r="Q321" i="1"/>
  <c r="R321" i="1" s="1"/>
  <c r="T321" i="1" s="1"/>
  <c r="Q337" i="1"/>
  <c r="R337" i="1" s="1"/>
  <c r="T337" i="1" s="1"/>
  <c r="Q353" i="1"/>
  <c r="R353" i="1" s="1"/>
  <c r="T353" i="1" s="1"/>
  <c r="Q369" i="1"/>
  <c r="R369" i="1" s="1"/>
  <c r="T369" i="1" s="1"/>
  <c r="Q385" i="1"/>
  <c r="R385" i="1" s="1"/>
  <c r="T385" i="1" s="1"/>
  <c r="Q401" i="1"/>
  <c r="R401" i="1" s="1"/>
  <c r="T401" i="1" s="1"/>
  <c r="Q417" i="1"/>
  <c r="R417" i="1" s="1"/>
  <c r="T417" i="1" s="1"/>
  <c r="Q433" i="1"/>
  <c r="R433" i="1" s="1"/>
  <c r="T433" i="1" s="1"/>
  <c r="Q449" i="1"/>
  <c r="R449" i="1" s="1"/>
  <c r="T449" i="1" s="1"/>
  <c r="Q465" i="1"/>
  <c r="R465" i="1" s="1"/>
  <c r="T465" i="1" s="1"/>
  <c r="Q481" i="1"/>
  <c r="R481" i="1" s="1"/>
  <c r="T481" i="1" s="1"/>
  <c r="Q497" i="1"/>
  <c r="R497" i="1" s="1"/>
  <c r="T497" i="1" s="1"/>
  <c r="S40" i="1"/>
  <c r="S26" i="1"/>
  <c r="S11" i="1"/>
  <c r="Q527" i="1"/>
  <c r="R527" i="1" s="1"/>
  <c r="T527" i="1" s="1"/>
  <c r="S527" i="1"/>
  <c r="Q559" i="1"/>
  <c r="R559" i="1" s="1"/>
  <c r="T559" i="1" s="1"/>
  <c r="S559" i="1"/>
  <c r="Q529" i="1"/>
  <c r="R529" i="1" s="1"/>
  <c r="T529" i="1" s="1"/>
  <c r="S529" i="1"/>
  <c r="Q561" i="1"/>
  <c r="R561" i="1" s="1"/>
  <c r="T561" i="1" s="1"/>
  <c r="S561" i="1"/>
  <c r="Q522" i="1"/>
  <c r="R522" i="1" s="1"/>
  <c r="T522" i="1" s="1"/>
  <c r="S522" i="1"/>
  <c r="Q515" i="1"/>
  <c r="R515" i="1" s="1"/>
  <c r="T515" i="1" s="1"/>
  <c r="S515" i="1"/>
  <c r="Q531" i="1"/>
  <c r="R531" i="1" s="1"/>
  <c r="T531" i="1" s="1"/>
  <c r="S531" i="1"/>
  <c r="Q547" i="1"/>
  <c r="R547" i="1" s="1"/>
  <c r="T547" i="1" s="1"/>
  <c r="S547" i="1"/>
  <c r="Q563" i="1"/>
  <c r="R563" i="1" s="1"/>
  <c r="T563" i="1" s="1"/>
  <c r="S563" i="1"/>
  <c r="S508" i="1"/>
  <c r="Q508" i="1"/>
  <c r="R508" i="1" s="1"/>
  <c r="T508" i="1" s="1"/>
  <c r="S528" i="1"/>
  <c r="Q528" i="1"/>
  <c r="R528" i="1" s="1"/>
  <c r="T528" i="1" s="1"/>
  <c r="S548" i="1"/>
  <c r="Q548" i="1"/>
  <c r="R548" i="1" s="1"/>
  <c r="T548" i="1" s="1"/>
  <c r="Q568" i="1"/>
  <c r="R568" i="1" s="1"/>
  <c r="T568" i="1" s="1"/>
  <c r="S568" i="1"/>
  <c r="Q517" i="1"/>
  <c r="R517" i="1" s="1"/>
  <c r="T517" i="1" s="1"/>
  <c r="S517" i="1"/>
  <c r="Q533" i="1"/>
  <c r="R533" i="1" s="1"/>
  <c r="T533" i="1" s="1"/>
  <c r="S533" i="1"/>
  <c r="Q549" i="1"/>
  <c r="R549" i="1" s="1"/>
  <c r="T549" i="1" s="1"/>
  <c r="S549" i="1"/>
  <c r="Q565" i="1"/>
  <c r="R565" i="1" s="1"/>
  <c r="T565" i="1" s="1"/>
  <c r="S565" i="1"/>
  <c r="Q510" i="1"/>
  <c r="R510" i="1" s="1"/>
  <c r="T510" i="1" s="1"/>
  <c r="S510" i="1"/>
  <c r="Q530" i="1"/>
  <c r="R530" i="1" s="1"/>
  <c r="T530" i="1" s="1"/>
  <c r="S530" i="1"/>
  <c r="Q546" i="1"/>
  <c r="R546" i="1" s="1"/>
  <c r="T546" i="1" s="1"/>
  <c r="S546" i="1"/>
  <c r="Q562" i="1"/>
  <c r="R562" i="1" s="1"/>
  <c r="T562" i="1" s="1"/>
  <c r="S562" i="1"/>
  <c r="S544" i="1"/>
  <c r="Q544" i="1"/>
  <c r="R544" i="1" s="1"/>
  <c r="T544" i="1" s="1"/>
  <c r="Q545" i="1"/>
  <c r="R545" i="1" s="1"/>
  <c r="T545" i="1" s="1"/>
  <c r="S545" i="1"/>
  <c r="Q519" i="1"/>
  <c r="R519" i="1" s="1"/>
  <c r="T519" i="1" s="1"/>
  <c r="S519" i="1"/>
  <c r="Q535" i="1"/>
  <c r="R535" i="1" s="1"/>
  <c r="T535" i="1" s="1"/>
  <c r="S535" i="1"/>
  <c r="Q567" i="1"/>
  <c r="R567" i="1" s="1"/>
  <c r="T567" i="1" s="1"/>
  <c r="S567" i="1"/>
  <c r="Q512" i="1"/>
  <c r="R512" i="1" s="1"/>
  <c r="T512" i="1" s="1"/>
  <c r="S512" i="1"/>
  <c r="S532" i="1"/>
  <c r="Q532" i="1"/>
  <c r="R532" i="1" s="1"/>
  <c r="T532" i="1" s="1"/>
  <c r="S552" i="1"/>
  <c r="Q552" i="1"/>
  <c r="R552" i="1" s="1"/>
  <c r="T552" i="1" s="1"/>
  <c r="Q505" i="1"/>
  <c r="R505" i="1" s="1"/>
  <c r="T505" i="1" s="1"/>
  <c r="S505" i="1"/>
  <c r="Q521" i="1"/>
  <c r="R521" i="1" s="1"/>
  <c r="T521" i="1" s="1"/>
  <c r="S521" i="1"/>
  <c r="Q537" i="1"/>
  <c r="R537" i="1" s="1"/>
  <c r="T537" i="1" s="1"/>
  <c r="S537" i="1"/>
  <c r="Q553" i="1"/>
  <c r="R553" i="1" s="1"/>
  <c r="T553" i="1" s="1"/>
  <c r="S553" i="1"/>
  <c r="Q514" i="1"/>
  <c r="R514" i="1" s="1"/>
  <c r="T514" i="1" s="1"/>
  <c r="S514" i="1"/>
  <c r="Q534" i="1"/>
  <c r="R534" i="1" s="1"/>
  <c r="T534" i="1" s="1"/>
  <c r="S534" i="1"/>
  <c r="Q550" i="1"/>
  <c r="R550" i="1" s="1"/>
  <c r="T550" i="1" s="1"/>
  <c r="S550" i="1"/>
  <c r="Q566" i="1"/>
  <c r="R566" i="1" s="1"/>
  <c r="T566" i="1" s="1"/>
  <c r="S566" i="1"/>
  <c r="Q511" i="1"/>
  <c r="R511" i="1" s="1"/>
  <c r="T511" i="1" s="1"/>
  <c r="S511" i="1"/>
  <c r="Q543" i="1"/>
  <c r="R543" i="1" s="1"/>
  <c r="T543" i="1" s="1"/>
  <c r="S543" i="1"/>
  <c r="Q524" i="1"/>
  <c r="R524" i="1" s="1"/>
  <c r="T524" i="1" s="1"/>
  <c r="S524" i="1"/>
  <c r="S560" i="1"/>
  <c r="Q560" i="1"/>
  <c r="R560" i="1" s="1"/>
  <c r="T560" i="1" s="1"/>
  <c r="Q540" i="1"/>
  <c r="R540" i="1" s="1"/>
  <c r="T540" i="1" s="1"/>
  <c r="S540" i="1"/>
  <c r="Q513" i="1"/>
  <c r="R513" i="1" s="1"/>
  <c r="T513" i="1" s="1"/>
  <c r="S513" i="1"/>
  <c r="Q506" i="1"/>
  <c r="R506" i="1" s="1"/>
  <c r="T506" i="1" s="1"/>
  <c r="S506" i="1"/>
  <c r="Q542" i="1"/>
  <c r="R542" i="1" s="1"/>
  <c r="T542" i="1" s="1"/>
  <c r="S542" i="1"/>
  <c r="Q558" i="1"/>
  <c r="R558" i="1" s="1"/>
  <c r="T558" i="1" s="1"/>
  <c r="S558" i="1"/>
  <c r="Q551" i="1"/>
  <c r="R551" i="1" s="1"/>
  <c r="T551" i="1" s="1"/>
  <c r="S551" i="1"/>
  <c r="Q507" i="1"/>
  <c r="R507" i="1" s="1"/>
  <c r="T507" i="1" s="1"/>
  <c r="S507" i="1"/>
  <c r="Q523" i="1"/>
  <c r="R523" i="1" s="1"/>
  <c r="T523" i="1" s="1"/>
  <c r="S523" i="1"/>
  <c r="Q539" i="1"/>
  <c r="R539" i="1" s="1"/>
  <c r="T539" i="1" s="1"/>
  <c r="S539" i="1"/>
  <c r="Q555" i="1"/>
  <c r="R555" i="1" s="1"/>
  <c r="T555" i="1" s="1"/>
  <c r="S555" i="1"/>
  <c r="Q520" i="1"/>
  <c r="R520" i="1" s="1"/>
  <c r="T520" i="1" s="1"/>
  <c r="S520" i="1"/>
  <c r="S536" i="1"/>
  <c r="Q536" i="1"/>
  <c r="R536" i="1" s="1"/>
  <c r="T536" i="1" s="1"/>
  <c r="Q556" i="1"/>
  <c r="R556" i="1" s="1"/>
  <c r="T556" i="1" s="1"/>
  <c r="S556" i="1"/>
  <c r="S516" i="1"/>
  <c r="Q516" i="1"/>
  <c r="R516" i="1" s="1"/>
  <c r="T516" i="1" s="1"/>
  <c r="Q509" i="1"/>
  <c r="R509" i="1" s="1"/>
  <c r="T509" i="1" s="1"/>
  <c r="S509" i="1"/>
  <c r="Q525" i="1"/>
  <c r="R525" i="1" s="1"/>
  <c r="T525" i="1" s="1"/>
  <c r="S525" i="1"/>
  <c r="Q541" i="1"/>
  <c r="R541" i="1" s="1"/>
  <c r="T541" i="1" s="1"/>
  <c r="S541" i="1"/>
  <c r="Q557" i="1"/>
  <c r="R557" i="1" s="1"/>
  <c r="T557" i="1" s="1"/>
  <c r="S557" i="1"/>
  <c r="Q518" i="1"/>
  <c r="R518" i="1" s="1"/>
  <c r="T518" i="1" s="1"/>
  <c r="S518" i="1"/>
  <c r="Q538" i="1"/>
  <c r="R538" i="1" s="1"/>
  <c r="T538" i="1" s="1"/>
  <c r="S538" i="1"/>
  <c r="Q554" i="1"/>
  <c r="R554" i="1" s="1"/>
  <c r="T554" i="1" s="1"/>
  <c r="S554" i="1"/>
  <c r="S9" i="1"/>
  <c r="I11" i="2" l="1"/>
  <c r="T26" i="1"/>
</calcChain>
</file>

<file path=xl/sharedStrings.xml><?xml version="1.0" encoding="utf-8"?>
<sst xmlns="http://schemas.openxmlformats.org/spreadsheetml/2006/main" count="131" uniqueCount="79">
  <si>
    <t xml:space="preserve"> </t>
  </si>
  <si>
    <t>SCHOOL BROADSHEET</t>
  </si>
  <si>
    <t xml:space="preserve"> ADM</t>
  </si>
  <si>
    <t>NAME</t>
  </si>
  <si>
    <t>EXAM</t>
  </si>
  <si>
    <t>ENG</t>
  </si>
  <si>
    <t>MATH</t>
  </si>
  <si>
    <t>KISW</t>
  </si>
  <si>
    <t>SCIE</t>
  </si>
  <si>
    <t>S/S&amp;R</t>
  </si>
  <si>
    <t>TOT</t>
  </si>
  <si>
    <t xml:space="preserve">P NT </t>
  </si>
  <si>
    <t xml:space="preserve">GRD </t>
  </si>
  <si>
    <t>PST</t>
  </si>
  <si>
    <t>KITHUSI</t>
  </si>
  <si>
    <t>BIDCO</t>
  </si>
  <si>
    <t>KENNEDY</t>
  </si>
  <si>
    <t>BOI</t>
  </si>
  <si>
    <t>E</t>
  </si>
  <si>
    <t>D-</t>
  </si>
  <si>
    <t>D</t>
  </si>
  <si>
    <t>D+</t>
  </si>
  <si>
    <t>C-</t>
  </si>
  <si>
    <t>C</t>
  </si>
  <si>
    <t>C+</t>
  </si>
  <si>
    <t>B-</t>
  </si>
  <si>
    <t>B</t>
  </si>
  <si>
    <t>B+</t>
  </si>
  <si>
    <t>A</t>
  </si>
  <si>
    <t>A-</t>
  </si>
  <si>
    <t>GRADE TABLE</t>
  </si>
  <si>
    <t>POINTS CHART</t>
  </si>
  <si>
    <t>EEE</t>
  </si>
  <si>
    <t>WEE</t>
  </si>
  <si>
    <t>KYAMA</t>
  </si>
  <si>
    <t>KIOKO</t>
  </si>
  <si>
    <t>PETER</t>
  </si>
  <si>
    <t>KYALO</t>
  </si>
  <si>
    <t>IAN P</t>
  </si>
  <si>
    <t>SUBJECT</t>
  </si>
  <si>
    <t>GRADE</t>
  </si>
  <si>
    <t>TOTAL MARK</t>
  </si>
  <si>
    <t>REMARK</t>
  </si>
  <si>
    <t>KRGC SCHOOL</t>
  </si>
  <si>
    <t>ADM</t>
  </si>
  <si>
    <t>CLASS</t>
  </si>
  <si>
    <t>CLASS TEACHER</t>
  </si>
  <si>
    <t>FAIL</t>
  </si>
  <si>
    <t>POOR</t>
  </si>
  <si>
    <t>VERY POOR</t>
  </si>
  <si>
    <t>TRIAL</t>
  </si>
  <si>
    <t>EXCELENT</t>
  </si>
  <si>
    <t>VERY GOOD</t>
  </si>
  <si>
    <t>GOOD</t>
  </si>
  <si>
    <t>P23</t>
  </si>
  <si>
    <t>bb</t>
  </si>
  <si>
    <t>cc</t>
  </si>
  <si>
    <t>STUDENTS RESULTS</t>
  </si>
  <si>
    <t>REPORT CARD</t>
  </si>
  <si>
    <t>MATHS</t>
  </si>
  <si>
    <t>%</t>
  </si>
  <si>
    <t>MARK obtained</t>
  </si>
  <si>
    <t>serial</t>
  </si>
  <si>
    <t>total</t>
  </si>
  <si>
    <t>H/TEACHER</t>
  </si>
  <si>
    <t>pst</t>
  </si>
  <si>
    <t>date</t>
  </si>
  <si>
    <t>points</t>
  </si>
  <si>
    <t>petelo</t>
  </si>
  <si>
    <t>class</t>
  </si>
  <si>
    <t>PA2</t>
  </si>
  <si>
    <t>kdb</t>
  </si>
  <si>
    <t>mutiso</t>
  </si>
  <si>
    <t>MR kithusi</t>
  </si>
  <si>
    <t>Name: BIDCO</t>
  </si>
  <si>
    <t>iooo</t>
  </si>
  <si>
    <t>kikokook</t>
  </si>
  <si>
    <t>ben kioko</t>
  </si>
  <si>
    <t>keboi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</si>
</sst>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rgb="FF00B05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7" fillId="7" borderId="0" applyNumberFormat="0" applyBorder="0" applyAlignment="0" applyProtection="0"/>
    <xf numFmtId="9" fontId="7" fillId="0" borderId="0" applyFont="0" applyFill="0" applyBorder="0" applyAlignment="0" applyProtection="0"/>
  </cellStyleXfs>
  <cellXfs count="70">
    <xf numFmtId="0" fontId="0" fillId="0" borderId="0" xfId="0"/>
    <xf numFmtId="0" fontId="11" fillId="11" borderId="1" xfId="0" applyFont="1" applyFill="1" applyBorder="1" applyAlignment="1" applyProtection="1">
      <alignment horizontal="center"/>
      <protection locked="0"/>
    </xf>
    <xf numFmtId="0" fontId="0" fillId="11" borderId="1" xfId="0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center"/>
      <protection locked="0"/>
    </xf>
    <xf numFmtId="0" fontId="6" fillId="5" borderId="2" xfId="0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9" fontId="0" fillId="6" borderId="1" xfId="0" applyNumberFormat="1" applyFill="1" applyBorder="1" applyAlignment="1" applyProtection="1">
      <alignment horizontal="center"/>
      <protection locked="0"/>
    </xf>
    <xf numFmtId="0" fontId="0" fillId="5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quotePrefix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0" fillId="3" borderId="3" xfId="0" applyFill="1" applyBorder="1" applyProtection="1">
      <protection locked="0"/>
    </xf>
    <xf numFmtId="0" fontId="3" fillId="3" borderId="3" xfId="0" applyFont="1" applyFill="1" applyBorder="1" applyProtection="1">
      <protection locked="0"/>
    </xf>
    <xf numFmtId="0" fontId="3" fillId="2" borderId="6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7" xfId="0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7" fillId="7" borderId="0" xfId="1" applyProtection="1"/>
    <xf numFmtId="0" fontId="0" fillId="5" borderId="1" xfId="0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6" borderId="1" xfId="0" quotePrefix="1" applyFill="1" applyBorder="1" applyAlignment="1" applyProtection="1">
      <alignment horizontal="center"/>
      <protection hidden="1"/>
    </xf>
    <xf numFmtId="0" fontId="0" fillId="6" borderId="1" xfId="0" applyFill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0" fontId="0" fillId="0" borderId="1" xfId="0" quotePrefix="1" applyBorder="1" applyAlignment="1" applyProtection="1">
      <alignment horizontal="center"/>
      <protection hidden="1"/>
    </xf>
    <xf numFmtId="0" fontId="0" fillId="0" borderId="1" xfId="0" quotePrefix="1" applyBorder="1" applyProtection="1">
      <protection hidden="1"/>
    </xf>
    <xf numFmtId="14" fontId="8" fillId="12" borderId="1" xfId="0" applyNumberFormat="1" applyFont="1" applyFill="1" applyBorder="1" applyProtection="1">
      <protection hidden="1"/>
    </xf>
    <xf numFmtId="0" fontId="0" fillId="10" borderId="1" xfId="0" applyFill="1" applyBorder="1" applyProtection="1">
      <protection hidden="1"/>
    </xf>
    <xf numFmtId="0" fontId="6" fillId="15" borderId="1" xfId="0" applyFont="1" applyFill="1" applyBorder="1" applyAlignment="1" applyProtection="1">
      <alignment horizontal="center"/>
      <protection hidden="1"/>
    </xf>
    <xf numFmtId="9" fontId="0" fillId="0" borderId="1" xfId="2" applyFont="1" applyBorder="1" applyProtection="1">
      <protection hidden="1"/>
    </xf>
    <xf numFmtId="0" fontId="0" fillId="9" borderId="1" xfId="0" applyFill="1" applyBorder="1" applyProtection="1">
      <protection hidden="1"/>
    </xf>
    <xf numFmtId="0" fontId="0" fillId="12" borderId="1" xfId="0" applyFill="1" applyBorder="1" applyAlignment="1" applyProtection="1">
      <alignment horizontal="center"/>
      <protection hidden="1"/>
    </xf>
    <xf numFmtId="0" fontId="0" fillId="12" borderId="1" xfId="0" applyFill="1" applyBorder="1" applyProtection="1">
      <protection hidden="1"/>
    </xf>
    <xf numFmtId="0" fontId="0" fillId="8" borderId="1" xfId="0" applyFill="1" applyBorder="1" applyProtection="1">
      <protection hidden="1"/>
    </xf>
    <xf numFmtId="0" fontId="6" fillId="12" borderId="1" xfId="0" applyFont="1" applyFill="1" applyBorder="1" applyProtection="1">
      <protection hidden="1"/>
    </xf>
    <xf numFmtId="0" fontId="10" fillId="13" borderId="1" xfId="0" applyFont="1" applyFill="1" applyBorder="1" applyProtection="1">
      <protection hidden="1"/>
    </xf>
    <xf numFmtId="0" fontId="0" fillId="11" borderId="1" xfId="0" applyFill="1" applyBorder="1" applyProtection="1">
      <protection hidden="1"/>
    </xf>
    <xf numFmtId="0" fontId="0" fillId="0" borderId="0" xfId="0" applyProtection="1">
      <protection locked="0" hidden="1"/>
    </xf>
    <xf numFmtId="0" fontId="0" fillId="12" borderId="1" xfId="0" applyFill="1" applyBorder="1" applyProtection="1">
      <protection locked="0" hidden="1"/>
    </xf>
    <xf numFmtId="0" fontId="0" fillId="8" borderId="1" xfId="0" applyFill="1" applyBorder="1" applyProtection="1">
      <protection locked="0" hidden="1"/>
    </xf>
    <xf numFmtId="0" fontId="6" fillId="12" borderId="1" xfId="0" applyFont="1" applyFill="1" applyBorder="1" applyProtection="1">
      <protection locked="0" hidden="1"/>
    </xf>
    <xf numFmtId="0" fontId="0" fillId="10" borderId="1" xfId="0" applyFill="1" applyBorder="1" applyAlignment="1" applyProtection="1">
      <alignment horizontal="center"/>
      <protection locked="0" hidden="1"/>
    </xf>
    <xf numFmtId="0" fontId="0" fillId="0" borderId="1" xfId="0" applyFill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6" fillId="16" borderId="1" xfId="0" applyFont="1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13" fillId="16" borderId="1" xfId="0" applyFont="1" applyFill="1" applyBorder="1" applyProtection="1">
      <protection locked="0"/>
    </xf>
    <xf numFmtId="0" fontId="0" fillId="12" borderId="12" xfId="0" applyFill="1" applyBorder="1" applyProtection="1">
      <protection hidden="1"/>
    </xf>
    <xf numFmtId="0" fontId="0" fillId="12" borderId="9" xfId="0" applyFill="1" applyBorder="1" applyProtection="1">
      <protection hidden="1"/>
    </xf>
    <xf numFmtId="0" fontId="0" fillId="12" borderId="13" xfId="0" applyFill="1" applyBorder="1" applyProtection="1">
      <protection hidden="1"/>
    </xf>
    <xf numFmtId="0" fontId="0" fillId="12" borderId="10" xfId="0" applyFill="1" applyBorder="1" applyProtection="1">
      <protection hidden="1"/>
    </xf>
    <xf numFmtId="0" fontId="0" fillId="12" borderId="14" xfId="0" applyFill="1" applyBorder="1" applyProtection="1">
      <protection hidden="1"/>
    </xf>
    <xf numFmtId="0" fontId="0" fillId="12" borderId="6" xfId="0" applyFill="1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9" fillId="9" borderId="1" xfId="0" applyFont="1" applyFill="1" applyBorder="1" applyAlignment="1" applyProtection="1">
      <alignment horizontal="center"/>
      <protection locked="0" hidden="1"/>
    </xf>
    <xf numFmtId="0" fontId="6" fillId="3" borderId="1" xfId="0" applyFont="1" applyFill="1" applyBorder="1" applyAlignment="1" applyProtection="1">
      <alignment horizontal="center"/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0" fontId="12" fillId="8" borderId="1" xfId="0" applyFont="1" applyFill="1" applyBorder="1" applyProtection="1">
      <protection hidden="1"/>
    </xf>
    <xf numFmtId="0" fontId="0" fillId="12" borderId="11" xfId="0" applyFill="1" applyBorder="1" applyProtection="1">
      <protection hidden="1"/>
    </xf>
    <xf numFmtId="0" fontId="0" fillId="12" borderId="2" xfId="0" applyFill="1" applyBorder="1" applyProtection="1">
      <protection hidden="1"/>
    </xf>
  </cellXfs>
  <cellStyles count="3">
    <cellStyle name="20% - Accent3" xfId="1" builtinId="38"/>
    <cellStyle name="Normal" xfId="0" builtinId="0"/>
    <cellStyle name="Percent" xfId="2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409575</xdr:colOff>
          <xdr:row>16</xdr:row>
          <xdr:rowOff>0</xdr:rowOff>
        </xdr:from>
        <xdr:to>
          <xdr:col>26</xdr:col>
          <xdr:colOff>9525</xdr:colOff>
          <xdr:row>18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409575</xdr:colOff>
          <xdr:row>21</xdr:row>
          <xdr:rowOff>152400</xdr:rowOff>
        </xdr:from>
        <xdr:to>
          <xdr:col>26</xdr:col>
          <xdr:colOff>161925</xdr:colOff>
          <xdr:row>23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466725</xdr:colOff>
          <xdr:row>24</xdr:row>
          <xdr:rowOff>114300</xdr:rowOff>
        </xdr:from>
        <xdr:to>
          <xdr:col>26</xdr:col>
          <xdr:colOff>190500</xdr:colOff>
          <xdr:row>26</xdr:row>
          <xdr:rowOff>85725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161925</xdr:rowOff>
    </xdr:from>
    <xdr:to>
      <xdr:col>3</xdr:col>
      <xdr:colOff>409575</xdr:colOff>
      <xdr:row>5</xdr:row>
      <xdr:rowOff>47625</xdr:rowOff>
    </xdr:to>
    <xdr:sp macro="[0]!Sheet1.pppri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2475" y="542925"/>
          <a:ext cx="1485900" cy="600075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PRINT</a:t>
          </a:r>
          <a:endParaRPr lang="en-US" sz="2400"/>
        </a:p>
      </xdr:txBody>
    </xdr:sp>
    <xdr:clientData/>
  </xdr:twoCellAnchor>
  <xdr:twoCellAnchor>
    <xdr:from>
      <xdr:col>1</xdr:col>
      <xdr:colOff>95250</xdr:colOff>
      <xdr:row>7</xdr:row>
      <xdr:rowOff>171450</xdr:rowOff>
    </xdr:from>
    <xdr:to>
      <xdr:col>3</xdr:col>
      <xdr:colOff>361950</xdr:colOff>
      <xdr:row>10</xdr:row>
      <xdr:rowOff>171450</xdr:rowOff>
    </xdr:to>
    <xdr:sp macro="[0]!allpr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04850" y="1647825"/>
          <a:ext cx="1485900" cy="600075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PRINT</a:t>
          </a:r>
          <a:endParaRPr lang="en-US" sz="2400"/>
        </a:p>
      </xdr:txBody>
    </xdr:sp>
    <xdr:clientData/>
  </xdr:twoCellAnchor>
  <xdr:twoCellAnchor>
    <xdr:from>
      <xdr:col>0</xdr:col>
      <xdr:colOff>0</xdr:colOff>
      <xdr:row>2</xdr:row>
      <xdr:rowOff>152400</xdr:rowOff>
    </xdr:from>
    <xdr:to>
      <xdr:col>1</xdr:col>
      <xdr:colOff>247650</xdr:colOff>
      <xdr:row>4</xdr:row>
      <xdr:rowOff>28576</xdr:rowOff>
    </xdr:to>
    <xdr:sp macro="" textlink="">
      <xdr:nvSpPr>
        <xdr:cNvPr id="3" name="Arrow: Notched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33400"/>
          <a:ext cx="857250" cy="400051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/>
            <a:t>SINGLE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1</xdr:col>
      <xdr:colOff>238125</xdr:colOff>
      <xdr:row>10</xdr:row>
      <xdr:rowOff>28575</xdr:rowOff>
    </xdr:to>
    <xdr:sp macro="" textlink="">
      <xdr:nvSpPr>
        <xdr:cNvPr id="5" name="Arrow: Notched Righ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1676400"/>
          <a:ext cx="847725" cy="42862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/>
            <a:t>ALL</a:t>
          </a:r>
        </a:p>
      </xdr:txBody>
    </xdr:sp>
    <xdr:clientData/>
  </xdr:twoCellAnchor>
  <xdr:twoCellAnchor>
    <xdr:from>
      <xdr:col>4</xdr:col>
      <xdr:colOff>85725</xdr:colOff>
      <xdr:row>23</xdr:row>
      <xdr:rowOff>180975</xdr:rowOff>
    </xdr:from>
    <xdr:to>
      <xdr:col>4</xdr:col>
      <xdr:colOff>581025</xdr:colOff>
      <xdr:row>25</xdr:row>
      <xdr:rowOff>114300</xdr:rowOff>
    </xdr:to>
    <xdr:sp macro="" textlink="">
      <xdr:nvSpPr>
        <xdr:cNvPr id="8" name="Star: 5 Point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524125" y="4714875"/>
          <a:ext cx="495300" cy="3143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0</xdr:rowOff>
    </xdr:from>
    <xdr:to>
      <xdr:col>5</xdr:col>
      <xdr:colOff>495300</xdr:colOff>
      <xdr:row>25</xdr:row>
      <xdr:rowOff>123825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048000" y="4724400"/>
          <a:ext cx="495300" cy="3143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24</xdr:row>
      <xdr:rowOff>0</xdr:rowOff>
    </xdr:from>
    <xdr:to>
      <xdr:col>6</xdr:col>
      <xdr:colOff>495300</xdr:colOff>
      <xdr:row>25</xdr:row>
      <xdr:rowOff>123825</xdr:rowOff>
    </xdr:to>
    <xdr:sp macro="" textlink="">
      <xdr:nvSpPr>
        <xdr:cNvPr id="13" name="Star: 5 Point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19525" y="4724400"/>
          <a:ext cx="495300" cy="3143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24</xdr:row>
      <xdr:rowOff>0</xdr:rowOff>
    </xdr:from>
    <xdr:to>
      <xdr:col>8</xdr:col>
      <xdr:colOff>495300</xdr:colOff>
      <xdr:row>25</xdr:row>
      <xdr:rowOff>123825</xdr:rowOff>
    </xdr:to>
    <xdr:sp macro="" textlink="">
      <xdr:nvSpPr>
        <xdr:cNvPr id="17" name="Star: 5 Point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276850" y="4724400"/>
          <a:ext cx="495300" cy="3143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9</xdr:col>
      <xdr:colOff>495300</xdr:colOff>
      <xdr:row>25</xdr:row>
      <xdr:rowOff>123825</xdr:rowOff>
    </xdr:to>
    <xdr:sp macro="" textlink="">
      <xdr:nvSpPr>
        <xdr:cNvPr id="19" name="Star: 5 Point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010275" y="4724400"/>
          <a:ext cx="495300" cy="3143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7</xdr:col>
      <xdr:colOff>495300</xdr:colOff>
      <xdr:row>25</xdr:row>
      <xdr:rowOff>123825</xdr:rowOff>
    </xdr:to>
    <xdr:sp macro="" textlink="">
      <xdr:nvSpPr>
        <xdr:cNvPr id="21" name="Star: 5 Point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667250" y="4724400"/>
          <a:ext cx="495300" cy="3143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66675</xdr:colOff>
      <xdr:row>22</xdr:row>
      <xdr:rowOff>95250</xdr:rowOff>
    </xdr:from>
    <xdr:to>
      <xdr:col>7</xdr:col>
      <xdr:colOff>171450</xdr:colOff>
      <xdr:row>23</xdr:row>
      <xdr:rowOff>133350</xdr:rowOff>
    </xdr:to>
    <xdr:sp macro="" textlink="">
      <xdr:nvSpPr>
        <xdr:cNvPr id="22" name="Arrow: Curved Righ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733925" y="4438650"/>
          <a:ext cx="104775" cy="2286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257174</xdr:colOff>
      <xdr:row>22</xdr:row>
      <xdr:rowOff>104775</xdr:rowOff>
    </xdr:from>
    <xdr:to>
      <xdr:col>7</xdr:col>
      <xdr:colOff>419099</xdr:colOff>
      <xdr:row>23</xdr:row>
      <xdr:rowOff>114300</xdr:rowOff>
    </xdr:to>
    <xdr:sp macro="" textlink="">
      <xdr:nvSpPr>
        <xdr:cNvPr id="23" name="Arrow: Curved Lef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924424" y="4448175"/>
          <a:ext cx="161925" cy="20002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ABA54-B331-4817-8588-C98F288A72A6}">
  <sheetPr codeName="Sheet1">
    <pageSetUpPr fitToPage="1"/>
  </sheetPr>
  <dimension ref="A1:AM2102"/>
  <sheetViews>
    <sheetView tabSelected="1" zoomScale="82" zoomScaleNormal="82" workbookViewId="0">
      <selection activeCell="E6" sqref="E6"/>
    </sheetView>
  </sheetViews>
  <sheetFormatPr defaultRowHeight="15" x14ac:dyDescent="0.25"/>
  <cols>
    <col min="1" max="2" width="9.140625" style="14"/>
    <col min="3" max="3" width="6.42578125" style="13" customWidth="1"/>
    <col min="4" max="4" width="9.85546875" style="13" customWidth="1"/>
    <col min="5" max="5" width="14.42578125" style="13" customWidth="1"/>
    <col min="6" max="15" width="6.42578125" style="13" customWidth="1"/>
    <col min="16" max="16" width="11.7109375" style="13" customWidth="1"/>
    <col min="17" max="19" width="6.42578125" style="13" customWidth="1"/>
    <col min="20" max="20" width="12.7109375" style="13" customWidth="1"/>
    <col min="21" max="21" width="6.42578125" style="13" customWidth="1"/>
    <col min="22" max="27" width="9.140625" style="14"/>
    <col min="28" max="28" width="13.140625" style="14" customWidth="1"/>
    <col min="29" max="31" width="9.140625" style="14"/>
    <col min="32" max="32" width="15.7109375" style="14" customWidth="1"/>
    <col min="33" max="33" width="8.28515625" style="14" customWidth="1"/>
    <col min="34" max="34" width="9.140625" style="14"/>
    <col min="35" max="35" width="11.85546875" style="14" customWidth="1"/>
    <col min="36" max="37" width="9.140625" style="14"/>
    <col min="38" max="38" width="9.140625" style="14" hidden="1" customWidth="1"/>
    <col min="39" max="39" width="14.5703125" style="14" customWidth="1"/>
    <col min="40" max="40" width="30.7109375" style="14" customWidth="1"/>
    <col min="41" max="41" width="11.42578125" style="14" customWidth="1"/>
    <col min="42" max="42" width="9.140625" style="14" customWidth="1"/>
    <col min="43" max="43" width="11" style="14" bestFit="1" customWidth="1"/>
    <col min="44" max="16384" width="9.140625" style="14"/>
  </cols>
  <sheetData>
    <row r="1" spans="1:39" x14ac:dyDescent="0.25">
      <c r="A1" s="14" t="s">
        <v>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39" ht="15.75" thickBot="1" x14ac:dyDescent="0.3"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39" ht="34.5" thickBot="1" x14ac:dyDescent="0.55000000000000004">
      <c r="C3" s="1" t="s">
        <v>69</v>
      </c>
      <c r="D3" s="46">
        <v>6</v>
      </c>
      <c r="E3" s="2" t="s">
        <v>46</v>
      </c>
      <c r="F3" s="54" t="s">
        <v>73</v>
      </c>
      <c r="G3" s="55"/>
      <c r="H3" s="49" t="s">
        <v>1</v>
      </c>
      <c r="I3" s="50"/>
      <c r="J3" s="50"/>
      <c r="K3" s="50"/>
      <c r="L3" s="50"/>
      <c r="M3" s="50"/>
      <c r="N3" s="50"/>
      <c r="O3" s="51"/>
      <c r="P3" s="2" t="s">
        <v>64</v>
      </c>
      <c r="Q3" s="56" t="s">
        <v>72</v>
      </c>
      <c r="R3" s="55"/>
      <c r="S3" s="55"/>
      <c r="T3" s="3" t="s">
        <v>70</v>
      </c>
      <c r="U3" s="3"/>
      <c r="W3" s="47" t="s">
        <v>31</v>
      </c>
      <c r="X3" s="48"/>
      <c r="Y3" s="52" t="s">
        <v>30</v>
      </c>
      <c r="Z3" s="53"/>
      <c r="AA3" s="47" t="s">
        <v>42</v>
      </c>
      <c r="AB3" s="48"/>
    </row>
    <row r="4" spans="1:39" ht="27.75" customHeight="1" x14ac:dyDescent="0.25">
      <c r="A4" s="13"/>
      <c r="C4" s="4" t="s">
        <v>2</v>
      </c>
      <c r="D4" s="4" t="s">
        <v>3</v>
      </c>
      <c r="E4" s="5" t="s">
        <v>4</v>
      </c>
      <c r="F4" s="5" t="s">
        <v>6</v>
      </c>
      <c r="G4" s="5" t="s">
        <v>6</v>
      </c>
      <c r="H4" s="5" t="s">
        <v>5</v>
      </c>
      <c r="I4" s="5" t="s">
        <v>5</v>
      </c>
      <c r="J4" s="5" t="s">
        <v>7</v>
      </c>
      <c r="K4" s="5" t="s">
        <v>7</v>
      </c>
      <c r="L4" s="5" t="s">
        <v>8</v>
      </c>
      <c r="M4" s="5" t="s">
        <v>8</v>
      </c>
      <c r="N4" s="5" t="s">
        <v>9</v>
      </c>
      <c r="O4" s="5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7" t="s">
        <v>42</v>
      </c>
      <c r="U4" s="7"/>
      <c r="W4" s="15">
        <v>0</v>
      </c>
      <c r="X4" s="16" t="s">
        <v>18</v>
      </c>
      <c r="Y4" s="17">
        <v>0</v>
      </c>
      <c r="Z4" s="18" t="s">
        <v>18</v>
      </c>
      <c r="AA4" s="16" t="s">
        <v>18</v>
      </c>
      <c r="AB4" s="16" t="s">
        <v>47</v>
      </c>
    </row>
    <row r="5" spans="1:39" x14ac:dyDescent="0.25">
      <c r="C5" s="8"/>
      <c r="D5" s="8"/>
      <c r="E5" s="9"/>
      <c r="F5" s="8"/>
      <c r="G5" s="25" t="str">
        <f>IF(F5="","",VLOOKUP(F5,$Y$4:$Z$15,2,TRUE))</f>
        <v/>
      </c>
      <c r="H5" s="8"/>
      <c r="I5" s="26" t="str">
        <f>IF(H5="","",VLOOKUP(H5,$Y$4:$Z$15,2,TRUE))</f>
        <v/>
      </c>
      <c r="J5" s="8"/>
      <c r="K5" s="26" t="str">
        <f>IF(J5="","",VLOOKUP(J5,$Y$4:$Z$15,2,TRUE))</f>
        <v/>
      </c>
      <c r="L5" s="8"/>
      <c r="M5" s="26" t="str">
        <f>IF(L5="","",VLOOKUP(L5,$Y$4:$Z$15,2,TRUE))</f>
        <v/>
      </c>
      <c r="N5" s="8"/>
      <c r="O5" s="26" t="str">
        <f>IF(N5="","",VLOOKUP(N5,$Y$4:$Z$15,2,TRUE))</f>
        <v/>
      </c>
      <c r="P5" s="23" t="str">
        <f>IF(COUNT(F5:O5)=0,"",SUM(F5:O5))</f>
        <v/>
      </c>
      <c r="Q5" s="23" t="str">
        <f>IF(P5="","",P5/500*12)</f>
        <v/>
      </c>
      <c r="R5" s="23" t="str">
        <f>IF(Q5="","",VLOOKUP(Q5,$W$4:$X$15,2,TRUE))</f>
        <v/>
      </c>
      <c r="S5" s="23" t="str">
        <f>IF(P5="","",RANK(P5,$P$5:$P$998,0))</f>
        <v/>
      </c>
      <c r="T5" s="23" t="str">
        <f>IFERROR(VLOOKUP(R5,$AA$4:$AB$15,2,FALSE),"")</f>
        <v/>
      </c>
      <c r="U5" s="10"/>
      <c r="W5" s="15">
        <v>1.5</v>
      </c>
      <c r="X5" s="16" t="s">
        <v>19</v>
      </c>
      <c r="Y5" s="19">
        <v>30</v>
      </c>
      <c r="Z5" s="20" t="s">
        <v>19</v>
      </c>
      <c r="AA5" s="16" t="s">
        <v>19</v>
      </c>
      <c r="AB5" s="16" t="s">
        <v>49</v>
      </c>
    </row>
    <row r="6" spans="1:39" x14ac:dyDescent="0.25">
      <c r="C6" s="8">
        <v>45</v>
      </c>
      <c r="D6" s="8" t="s">
        <v>78</v>
      </c>
      <c r="E6" s="9">
        <v>1</v>
      </c>
      <c r="F6" s="8">
        <v>100</v>
      </c>
      <c r="G6" s="25" t="str">
        <f>IF(F6="","",VLOOKUP(F6,$Y$4:$Z$15,2,TRUE))</f>
        <v>A</v>
      </c>
      <c r="H6" s="8">
        <v>100</v>
      </c>
      <c r="I6" s="26" t="str">
        <f>IF(H6="","",VLOOKUP(H6,$Y$4:$Z$15,2,TRUE))</f>
        <v>A</v>
      </c>
      <c r="J6" s="8">
        <v>100</v>
      </c>
      <c r="K6" s="26" t="str">
        <f>IF(J6="","",VLOOKUP(J6,$Y$4:$Z$15,2,TRUE))</f>
        <v>A</v>
      </c>
      <c r="L6" s="8">
        <v>100</v>
      </c>
      <c r="M6" s="26" t="str">
        <f>IF(L6="","",VLOOKUP(L6,$Y$4:$Z$15,2,TRUE))</f>
        <v>A</v>
      </c>
      <c r="N6" s="8">
        <v>100</v>
      </c>
      <c r="O6" s="26" t="str">
        <f>IF(N6="","",VLOOKUP(N6,$Y$4:$Z$15,2,TRUE))</f>
        <v>A</v>
      </c>
      <c r="P6" s="23">
        <f>IF(COUNT(F6:O6)=0,"",SUM(F6:O6))</f>
        <v>500</v>
      </c>
      <c r="Q6" s="23">
        <f>IF(P6="","",P6/500*12)</f>
        <v>12</v>
      </c>
      <c r="R6" s="23" t="str">
        <f>IF(Q6="","",VLOOKUP(Q6,$W$4:$X$15,2,TRUE))</f>
        <v>A</v>
      </c>
      <c r="S6" s="23">
        <f>IF(P6="","",RANK(P6,$P$5:$P$998,0))</f>
        <v>1</v>
      </c>
      <c r="T6" s="23" t="str">
        <f>IFERROR(VLOOKUP(R6,$AA$4:$AB$15,2,FALSE),"")</f>
        <v>EXCELENT</v>
      </c>
      <c r="U6" s="10"/>
      <c r="W6" s="15">
        <v>2.5</v>
      </c>
      <c r="X6" s="16" t="s">
        <v>20</v>
      </c>
      <c r="Y6" s="19">
        <v>35</v>
      </c>
      <c r="Z6" s="20" t="s">
        <v>20</v>
      </c>
      <c r="AA6" s="16" t="s">
        <v>20</v>
      </c>
      <c r="AB6" s="16" t="s">
        <v>48</v>
      </c>
    </row>
    <row r="7" spans="1:39" x14ac:dyDescent="0.25">
      <c r="C7" s="8">
        <v>3</v>
      </c>
      <c r="D7" s="8" t="s">
        <v>33</v>
      </c>
      <c r="E7" s="9">
        <v>1</v>
      </c>
      <c r="F7" s="8">
        <v>89</v>
      </c>
      <c r="G7" s="25" t="str">
        <f>IF(F7="","",VLOOKUP(F7,$Y$4:$Z$15,2,TRUE))</f>
        <v>A</v>
      </c>
      <c r="H7" s="8">
        <v>98</v>
      </c>
      <c r="I7" s="26" t="str">
        <f>IF(H7="","",VLOOKUP(H7,$Y$4:$Z$15,2,TRUE))</f>
        <v>A</v>
      </c>
      <c r="J7" s="8">
        <v>90</v>
      </c>
      <c r="K7" s="26" t="str">
        <f>IF(J7="","",VLOOKUP(J7,$Y$4:$Z$15,2,TRUE))</f>
        <v>A</v>
      </c>
      <c r="L7" s="8">
        <v>99</v>
      </c>
      <c r="M7" s="26" t="str">
        <f>IF(L7="","",VLOOKUP(L7,$Y$4:$Z$15,2,TRUE))</f>
        <v>A</v>
      </c>
      <c r="N7" s="8">
        <v>90</v>
      </c>
      <c r="O7" s="26" t="str">
        <f>IF(N7="","",VLOOKUP(N7,$Y$4:$Z$15,2,TRUE))</f>
        <v>A</v>
      </c>
      <c r="P7" s="23">
        <f>IF(COUNT(F7:O7)=0,"",SUM(F7:O7))</f>
        <v>466</v>
      </c>
      <c r="Q7" s="23">
        <f>IF(P7="","",P7/500*12)</f>
        <v>11.184000000000001</v>
      </c>
      <c r="R7" s="23" t="str">
        <f>IF(Q7="","",VLOOKUP(Q7,$W$4:$X$15,2,TRUE))</f>
        <v>A-</v>
      </c>
      <c r="S7" s="23">
        <f>IF(P7="","",RANK(P7,$P$5:$P$998,0))</f>
        <v>2</v>
      </c>
      <c r="T7" s="23" t="str">
        <f>IFERROR(VLOOKUP(R7,$AA$4:$AB$15,2,FALSE),"")</f>
        <v>EXCELENT</v>
      </c>
      <c r="U7" s="10"/>
      <c r="W7" s="15">
        <v>3.5</v>
      </c>
      <c r="X7" s="16" t="s">
        <v>21</v>
      </c>
      <c r="Y7" s="19">
        <v>40</v>
      </c>
      <c r="Z7" s="20" t="s">
        <v>21</v>
      </c>
      <c r="AA7" s="16" t="s">
        <v>21</v>
      </c>
      <c r="AB7" s="16" t="s">
        <v>50</v>
      </c>
    </row>
    <row r="8" spans="1:39" x14ac:dyDescent="0.25">
      <c r="C8" s="8">
        <v>15</v>
      </c>
      <c r="D8" s="8" t="s">
        <v>68</v>
      </c>
      <c r="E8" s="9">
        <v>1</v>
      </c>
      <c r="F8" s="8">
        <v>90</v>
      </c>
      <c r="G8" s="25" t="str">
        <f>IF(F8="","",VLOOKUP(F8,$Y$4:$Z$15,2,TRUE))</f>
        <v>A</v>
      </c>
      <c r="H8" s="8">
        <v>89</v>
      </c>
      <c r="I8" s="26" t="str">
        <f>IF(H8="","",VLOOKUP(H8,$Y$4:$Z$15,2,TRUE))</f>
        <v>A</v>
      </c>
      <c r="J8" s="8">
        <v>90</v>
      </c>
      <c r="K8" s="26" t="str">
        <f>IF(J8="","",VLOOKUP(J8,$Y$4:$Z$15,2,TRUE))</f>
        <v>A</v>
      </c>
      <c r="L8" s="8">
        <v>95</v>
      </c>
      <c r="M8" s="26" t="str">
        <f>IF(L8="","",VLOOKUP(L8,$Y$4:$Z$15,2,TRUE))</f>
        <v>A</v>
      </c>
      <c r="N8" s="8">
        <v>88</v>
      </c>
      <c r="O8" s="26" t="str">
        <f>IF(N8="","",VLOOKUP(N8,$Y$4:$Z$15,2,TRUE))</f>
        <v>A</v>
      </c>
      <c r="P8" s="23">
        <f>IF(COUNT(F8:O8)=0,"",SUM(F8:O8))</f>
        <v>452</v>
      </c>
      <c r="Q8" s="23">
        <f>IF(P8="","",P8/500*12)</f>
        <v>10.848000000000001</v>
      </c>
      <c r="R8" s="23" t="str">
        <f>IF(Q8="","",VLOOKUP(Q8,$W$4:$X$15,2,TRUE))</f>
        <v>A-</v>
      </c>
      <c r="S8" s="23">
        <f>IF(P8="","",RANK(P8,$P$5:$P$998,0))</f>
        <v>3</v>
      </c>
      <c r="T8" s="23" t="str">
        <f>IFERROR(VLOOKUP(R8,$AA$4:$AB$15,2,FALSE),"")</f>
        <v>EXCELENT</v>
      </c>
      <c r="U8" s="10"/>
      <c r="W8" s="15">
        <v>4.5</v>
      </c>
      <c r="X8" s="16" t="s">
        <v>22</v>
      </c>
      <c r="Y8" s="19">
        <v>45</v>
      </c>
      <c r="Z8" s="20" t="s">
        <v>22</v>
      </c>
      <c r="AA8" s="16" t="s">
        <v>22</v>
      </c>
      <c r="AB8" s="16" t="s">
        <v>53</v>
      </c>
      <c r="AF8" s="21"/>
      <c r="AM8" s="21"/>
    </row>
    <row r="9" spans="1:39" x14ac:dyDescent="0.25">
      <c r="C9" s="8">
        <v>1</v>
      </c>
      <c r="D9" s="8" t="s">
        <v>16</v>
      </c>
      <c r="E9" s="9">
        <v>1</v>
      </c>
      <c r="F9" s="8">
        <v>90</v>
      </c>
      <c r="G9" s="25" t="str">
        <f>IF(F9="","",VLOOKUP(F9,$Y$4:$Z$15,2,TRUE))</f>
        <v>A</v>
      </c>
      <c r="H9" s="8">
        <v>89</v>
      </c>
      <c r="I9" s="26" t="str">
        <f>IF(H9="","",VLOOKUP(H9,$Y$4:$Z$15,2,TRUE))</f>
        <v>A</v>
      </c>
      <c r="J9" s="8">
        <v>99</v>
      </c>
      <c r="K9" s="26" t="str">
        <f>IF(J9="","",VLOOKUP(J9,$Y$4:$Z$15,2,TRUE))</f>
        <v>A</v>
      </c>
      <c r="L9" s="8">
        <v>56</v>
      </c>
      <c r="M9" s="26" t="str">
        <f>IF(L9="","",VLOOKUP(L9,$Y$4:$Z$15,2,TRUE))</f>
        <v>C+</v>
      </c>
      <c r="N9" s="8">
        <v>89</v>
      </c>
      <c r="O9" s="26" t="str">
        <f>IF(N9="","",VLOOKUP(N9,$Y$4:$Z$15,2,TRUE))</f>
        <v>A</v>
      </c>
      <c r="P9" s="23">
        <f>IF(COUNT(F9:O9)=0,"",SUM(F9:O9))</f>
        <v>423</v>
      </c>
      <c r="Q9" s="23">
        <f>IF(P9="","",P9/500*12)</f>
        <v>10.151999999999999</v>
      </c>
      <c r="R9" s="23" t="str">
        <f>IF(Q9="","",VLOOKUP(Q9,$W$4:$X$15,2,TRUE))</f>
        <v>B+</v>
      </c>
      <c r="S9" s="23">
        <f>IF(P9="","",RANK(P9,$P$5:$P$998,0))</f>
        <v>4</v>
      </c>
      <c r="T9" s="23" t="str">
        <f>IFERROR(VLOOKUP(R9,$AA$4:$AB$15,2,FALSE),"")</f>
        <v>VERY GOOD</v>
      </c>
      <c r="U9" s="10"/>
      <c r="W9" s="15">
        <v>5.5</v>
      </c>
      <c r="X9" s="16" t="s">
        <v>23</v>
      </c>
      <c r="Y9" s="19">
        <v>50</v>
      </c>
      <c r="Z9" s="20" t="s">
        <v>23</v>
      </c>
      <c r="AA9" s="16" t="s">
        <v>23</v>
      </c>
      <c r="AB9" s="16" t="s">
        <v>53</v>
      </c>
    </row>
    <row r="10" spans="1:39" x14ac:dyDescent="0.25">
      <c r="C10" s="8">
        <v>30</v>
      </c>
      <c r="D10" s="8" t="s">
        <v>77</v>
      </c>
      <c r="E10" s="9">
        <v>1</v>
      </c>
      <c r="F10" s="8">
        <v>69</v>
      </c>
      <c r="G10" s="25" t="str">
        <f>IF(F10="","",VLOOKUP(F10,$Y$4:$Z$15,2,TRUE))</f>
        <v>B</v>
      </c>
      <c r="H10" s="8">
        <v>68</v>
      </c>
      <c r="I10" s="26" t="str">
        <f>IF(H10="","",VLOOKUP(H10,$Y$4:$Z$15,2,TRUE))</f>
        <v>B</v>
      </c>
      <c r="J10" s="8">
        <v>89</v>
      </c>
      <c r="K10" s="26" t="str">
        <f>IF(J10="","",VLOOKUP(J10,$Y$4:$Z$15,2,TRUE))</f>
        <v>A</v>
      </c>
      <c r="L10" s="8">
        <v>67</v>
      </c>
      <c r="M10" s="26" t="str">
        <f>IF(L10="","",VLOOKUP(L10,$Y$4:$Z$15,2,TRUE))</f>
        <v>B</v>
      </c>
      <c r="N10" s="8">
        <v>90</v>
      </c>
      <c r="O10" s="26" t="str">
        <f>IF(N10="","",VLOOKUP(N10,$Y$4:$Z$15,2,TRUE))</f>
        <v>A</v>
      </c>
      <c r="P10" s="23">
        <f>IF(COUNT(F10:O10)=0,"",SUM(F10:O10))</f>
        <v>383</v>
      </c>
      <c r="Q10" s="23">
        <f>IF(P10="","",P10/500*12)</f>
        <v>9.1920000000000002</v>
      </c>
      <c r="R10" s="23" t="str">
        <f>IF(Q10="","",VLOOKUP(Q10,$W$4:$X$15,2,TRUE))</f>
        <v>B</v>
      </c>
      <c r="S10" s="23">
        <f>IF(P10="","",RANK(P10,$P$5:$P$998,0))</f>
        <v>5</v>
      </c>
      <c r="T10" s="23" t="str">
        <f>IFERROR(VLOOKUP(R10,$AA$4:$AB$15,2,FALSE),"")</f>
        <v>VERY GOOD</v>
      </c>
      <c r="U10" s="10"/>
      <c r="W10" s="15">
        <v>6.5</v>
      </c>
      <c r="X10" s="16" t="s">
        <v>24</v>
      </c>
      <c r="Y10" s="19">
        <v>55</v>
      </c>
      <c r="Z10" s="20" t="s">
        <v>24</v>
      </c>
      <c r="AA10" s="16" t="s">
        <v>24</v>
      </c>
      <c r="AB10" s="16" t="s">
        <v>53</v>
      </c>
      <c r="AF10" s="14" t="s">
        <v>74</v>
      </c>
      <c r="AI10" s="14">
        <v>4</v>
      </c>
    </row>
    <row r="11" spans="1:39" x14ac:dyDescent="0.25">
      <c r="C11" s="8">
        <v>2</v>
      </c>
      <c r="D11" s="8" t="s">
        <v>14</v>
      </c>
      <c r="E11" s="9">
        <v>1</v>
      </c>
      <c r="F11" s="8">
        <v>90</v>
      </c>
      <c r="G11" s="25" t="str">
        <f>IF(F11="","",VLOOKUP(F11,$Y$4:$Z$15,2,TRUE))</f>
        <v>A</v>
      </c>
      <c r="H11" s="8">
        <v>90</v>
      </c>
      <c r="I11" s="26" t="str">
        <f>IF(H11="","",VLOOKUP(H11,$Y$4:$Z$15,2,TRUE))</f>
        <v>A</v>
      </c>
      <c r="J11" s="8">
        <v>90</v>
      </c>
      <c r="K11" s="26" t="str">
        <f>IF(J11="","",VLOOKUP(J11,$Y$4:$Z$15,2,TRUE))</f>
        <v>A</v>
      </c>
      <c r="L11" s="8">
        <v>78</v>
      </c>
      <c r="M11" s="26" t="str">
        <f>IF(L11="","",VLOOKUP(L11,$Y$4:$Z$15,2,TRUE))</f>
        <v>A-</v>
      </c>
      <c r="N11" s="8">
        <v>34</v>
      </c>
      <c r="O11" s="26" t="str">
        <f>IF(N11="","",VLOOKUP(N11,$Y$4:$Z$15,2,TRUE))</f>
        <v>D-</v>
      </c>
      <c r="P11" s="23">
        <f>IF(COUNT(F11:O11)=0,"",SUM(F11:O11))</f>
        <v>382</v>
      </c>
      <c r="Q11" s="23">
        <f>IF(P11="","",P11/500*12)</f>
        <v>9.1679999999999993</v>
      </c>
      <c r="R11" s="23" t="str">
        <f>IF(Q11="","",VLOOKUP(Q11,$W$4:$X$15,2,TRUE))</f>
        <v>B</v>
      </c>
      <c r="S11" s="23">
        <f>IF(P11="","",RANK(P11,$P$5:$P$998,0))</f>
        <v>6</v>
      </c>
      <c r="T11" s="23" t="str">
        <f>IFERROR(VLOOKUP(R11,$AA$4:$AB$15,2,FALSE),"")</f>
        <v>VERY GOOD</v>
      </c>
      <c r="U11" s="10"/>
      <c r="W11" s="15">
        <v>7.5</v>
      </c>
      <c r="X11" s="16" t="s">
        <v>25</v>
      </c>
      <c r="Y11" s="19">
        <v>60</v>
      </c>
      <c r="Z11" s="20" t="s">
        <v>25</v>
      </c>
      <c r="AA11" s="16" t="s">
        <v>25</v>
      </c>
      <c r="AB11" s="16" t="s">
        <v>52</v>
      </c>
    </row>
    <row r="12" spans="1:39" x14ac:dyDescent="0.25">
      <c r="C12" s="8">
        <v>45</v>
      </c>
      <c r="D12" s="8" t="s">
        <v>75</v>
      </c>
      <c r="E12" s="9">
        <v>1</v>
      </c>
      <c r="F12" s="8">
        <v>56</v>
      </c>
      <c r="G12" s="25" t="str">
        <f>IF(F12="","",VLOOKUP(F12,$Y$4:$Z$15,2,TRUE))</f>
        <v>C+</v>
      </c>
      <c r="H12" s="8">
        <v>67</v>
      </c>
      <c r="I12" s="26" t="str">
        <f>IF(H12="","",VLOOKUP(H12,$Y$4:$Z$15,2,TRUE))</f>
        <v>B</v>
      </c>
      <c r="J12" s="8">
        <v>89</v>
      </c>
      <c r="K12" s="26" t="str">
        <f>IF(J12="","",VLOOKUP(J12,$Y$4:$Z$15,2,TRUE))</f>
        <v>A</v>
      </c>
      <c r="L12" s="8">
        <v>78</v>
      </c>
      <c r="M12" s="26" t="str">
        <f>IF(L12="","",VLOOKUP(L12,$Y$4:$Z$15,2,TRUE))</f>
        <v>A-</v>
      </c>
      <c r="N12" s="8">
        <v>89</v>
      </c>
      <c r="O12" s="26" t="str">
        <f>IF(N12="","",VLOOKUP(N12,$Y$4:$Z$15,2,TRUE))</f>
        <v>A</v>
      </c>
      <c r="P12" s="23">
        <f>IF(COUNT(F12:O12)=0,"",SUM(F12:O12))</f>
        <v>379</v>
      </c>
      <c r="Q12" s="23">
        <f>IF(P12="","",P12/500*12)</f>
        <v>9.0960000000000001</v>
      </c>
      <c r="R12" s="23" t="str">
        <f>IF(Q12="","",VLOOKUP(Q12,$W$4:$X$15,2,TRUE))</f>
        <v>B</v>
      </c>
      <c r="S12" s="23">
        <f>IF(P12="","",RANK(P12,$P$5:$P$998,0))</f>
        <v>7</v>
      </c>
      <c r="T12" s="23" t="str">
        <f>IFERROR(VLOOKUP(R12,$AA$4:$AB$15,2,FALSE),"")</f>
        <v>VERY GOOD</v>
      </c>
      <c r="U12" s="10"/>
      <c r="W12" s="15">
        <v>8.5</v>
      </c>
      <c r="X12" s="16" t="s">
        <v>26</v>
      </c>
      <c r="Y12" s="19">
        <v>65</v>
      </c>
      <c r="Z12" s="20" t="s">
        <v>26</v>
      </c>
      <c r="AA12" s="16" t="s">
        <v>26</v>
      </c>
      <c r="AB12" s="16" t="s">
        <v>52</v>
      </c>
    </row>
    <row r="13" spans="1:39" x14ac:dyDescent="0.25">
      <c r="C13" s="8">
        <v>8</v>
      </c>
      <c r="D13" s="8" t="s">
        <v>35</v>
      </c>
      <c r="E13" s="9">
        <v>1</v>
      </c>
      <c r="F13" s="8">
        <v>67</v>
      </c>
      <c r="G13" s="25" t="str">
        <f>IF(F13="","",VLOOKUP(F13,$Y$4:$Z$15,2,TRUE))</f>
        <v>B</v>
      </c>
      <c r="H13" s="8">
        <v>77</v>
      </c>
      <c r="I13" s="26" t="str">
        <f>IF(H13="","",VLOOKUP(H13,$Y$4:$Z$15,2,TRUE))</f>
        <v>A-</v>
      </c>
      <c r="J13" s="8">
        <v>89</v>
      </c>
      <c r="K13" s="26" t="str">
        <f>IF(J13="","",VLOOKUP(J13,$Y$4:$Z$15,2,TRUE))</f>
        <v>A</v>
      </c>
      <c r="L13" s="8">
        <v>67</v>
      </c>
      <c r="M13" s="26" t="str">
        <f>IF(L13="","",VLOOKUP(L13,$Y$4:$Z$15,2,TRUE))</f>
        <v>B</v>
      </c>
      <c r="N13" s="8">
        <v>76</v>
      </c>
      <c r="O13" s="26" t="str">
        <f>IF(N13="","",VLOOKUP(N13,$Y$4:$Z$15,2,TRUE))</f>
        <v>A-</v>
      </c>
      <c r="P13" s="23">
        <f>IF(COUNT(F13:O13)=0,"",SUM(F13:O13))</f>
        <v>376</v>
      </c>
      <c r="Q13" s="23">
        <f>IF(P13="","",P13/500*12)</f>
        <v>9.0240000000000009</v>
      </c>
      <c r="R13" s="23" t="str">
        <f>IF(Q13="","",VLOOKUP(Q13,$W$4:$X$15,2,TRUE))</f>
        <v>B</v>
      </c>
      <c r="S13" s="23">
        <f>IF(P13="","",RANK(P13,$P$5:$P$998,0))</f>
        <v>8</v>
      </c>
      <c r="T13" s="23" t="str">
        <f>IFERROR(VLOOKUP(R13,$AA$4:$AB$15,2,FALSE),"")</f>
        <v>VERY GOOD</v>
      </c>
      <c r="U13" s="10"/>
      <c r="W13" s="15">
        <v>9.5</v>
      </c>
      <c r="X13" s="16" t="s">
        <v>27</v>
      </c>
      <c r="Y13" s="19">
        <v>70</v>
      </c>
      <c r="Z13" s="20" t="s">
        <v>27</v>
      </c>
      <c r="AA13" s="16" t="s">
        <v>27</v>
      </c>
      <c r="AB13" s="16" t="s">
        <v>52</v>
      </c>
    </row>
    <row r="14" spans="1:39" x14ac:dyDescent="0.25">
      <c r="C14" s="8">
        <v>35</v>
      </c>
      <c r="D14" s="8" t="s">
        <v>76</v>
      </c>
      <c r="E14" s="9">
        <v>1</v>
      </c>
      <c r="F14" s="8">
        <v>58</v>
      </c>
      <c r="G14" s="25" t="str">
        <f>IF(F14="","",VLOOKUP(F14,$Y$4:$Z$15,2,TRUE))</f>
        <v>C+</v>
      </c>
      <c r="H14" s="8">
        <v>67</v>
      </c>
      <c r="I14" s="26" t="str">
        <f>IF(H14="","",VLOOKUP(H14,$Y$4:$Z$15,2,TRUE))</f>
        <v>B</v>
      </c>
      <c r="J14" s="8">
        <v>89</v>
      </c>
      <c r="K14" s="26" t="str">
        <f>IF(J14="","",VLOOKUP(J14,$Y$4:$Z$15,2,TRUE))</f>
        <v>A</v>
      </c>
      <c r="L14" s="8">
        <v>67</v>
      </c>
      <c r="M14" s="26" t="str">
        <f>IF(L14="","",VLOOKUP(L14,$Y$4:$Z$15,2,TRUE))</f>
        <v>B</v>
      </c>
      <c r="N14" s="8">
        <v>89</v>
      </c>
      <c r="O14" s="26" t="str">
        <f>IF(N14="","",VLOOKUP(N14,$Y$4:$Z$15,2,TRUE))</f>
        <v>A</v>
      </c>
      <c r="P14" s="23">
        <f>IF(COUNT(F14:O14)=0,"",SUM(F14:O14))</f>
        <v>370</v>
      </c>
      <c r="Q14" s="23">
        <f>IF(P14="","",P14/500*12)</f>
        <v>8.879999999999999</v>
      </c>
      <c r="R14" s="23" t="str">
        <f>IF(Q14="","",VLOOKUP(Q14,$W$4:$X$15,2,TRUE))</f>
        <v>B</v>
      </c>
      <c r="S14" s="23">
        <f>IF(P14="","",RANK(P14,$P$5:$P$998,0))</f>
        <v>9</v>
      </c>
      <c r="T14" s="23" t="str">
        <f>IFERROR(VLOOKUP(R14,$AA$4:$AB$15,2,FALSE),"")</f>
        <v>VERY GOOD</v>
      </c>
      <c r="U14" s="10"/>
      <c r="W14" s="15">
        <v>10.5</v>
      </c>
      <c r="X14" s="16" t="s">
        <v>29</v>
      </c>
      <c r="Y14" s="19">
        <v>75</v>
      </c>
      <c r="Z14" s="20" t="s">
        <v>29</v>
      </c>
      <c r="AA14" s="16" t="s">
        <v>29</v>
      </c>
      <c r="AB14" s="16" t="s">
        <v>51</v>
      </c>
      <c r="AG14" s="14">
        <v>78</v>
      </c>
      <c r="AH14" s="14" t="s">
        <v>29</v>
      </c>
      <c r="AJ14" s="22" t="str">
        <f>IFERROR(VLOOKUP(AI14,$AA$4:$AB$15,2,FALSE),"")</f>
        <v/>
      </c>
    </row>
    <row r="15" spans="1:39" x14ac:dyDescent="0.25">
      <c r="C15" s="8">
        <v>4</v>
      </c>
      <c r="D15" s="8" t="s">
        <v>15</v>
      </c>
      <c r="E15" s="9">
        <v>1</v>
      </c>
      <c r="F15" s="8">
        <v>45</v>
      </c>
      <c r="G15" s="25" t="str">
        <f>IF(F15="","",VLOOKUP(F15,$Y$4:$Z$15,2,TRUE))</f>
        <v>C-</v>
      </c>
      <c r="H15" s="8">
        <v>78</v>
      </c>
      <c r="I15" s="26" t="str">
        <f>IF(H15="","",VLOOKUP(H15,$Y$4:$Z$15,2,TRUE))</f>
        <v>A-</v>
      </c>
      <c r="J15" s="8">
        <v>89</v>
      </c>
      <c r="K15" s="26" t="str">
        <f>IF(J15="","",VLOOKUP(J15,$Y$4:$Z$15,2,TRUE))</f>
        <v>A</v>
      </c>
      <c r="L15" s="8">
        <v>67</v>
      </c>
      <c r="M15" s="26" t="str">
        <f>IF(L15="","",VLOOKUP(L15,$Y$4:$Z$15,2,TRUE))</f>
        <v>B</v>
      </c>
      <c r="N15" s="8">
        <v>88</v>
      </c>
      <c r="O15" s="26" t="str">
        <f>IF(N15="","",VLOOKUP(N15,$Y$4:$Z$15,2,TRUE))</f>
        <v>A</v>
      </c>
      <c r="P15" s="23">
        <f>IF(COUNT(F15:O15)=0,"",SUM(F15:O15))</f>
        <v>367</v>
      </c>
      <c r="Q15" s="23">
        <f>IF(P15="","",P15/500*12)</f>
        <v>8.8079999999999998</v>
      </c>
      <c r="R15" s="23" t="str">
        <f>IF(Q15="","",VLOOKUP(Q15,$W$4:$X$15,2,TRUE))</f>
        <v>B</v>
      </c>
      <c r="S15" s="23">
        <f>IF(P15="","",RANK(P15,$P$5:$P$998,0))</f>
        <v>10</v>
      </c>
      <c r="T15" s="23" t="str">
        <f>IFERROR(VLOOKUP(R15,$AA$4:$AB$15,2,FALSE),"")</f>
        <v>VERY GOOD</v>
      </c>
      <c r="U15" s="10"/>
      <c r="W15" s="15">
        <v>11.5</v>
      </c>
      <c r="X15" s="16" t="s">
        <v>28</v>
      </c>
      <c r="Y15" s="19">
        <v>80</v>
      </c>
      <c r="Z15" s="20" t="s">
        <v>28</v>
      </c>
      <c r="AA15" s="16" t="s">
        <v>28</v>
      </c>
      <c r="AB15" s="16" t="s">
        <v>51</v>
      </c>
      <c r="AG15" s="14">
        <v>45</v>
      </c>
      <c r="AH15" s="14" t="s">
        <v>22</v>
      </c>
    </row>
    <row r="16" spans="1:39" x14ac:dyDescent="0.25">
      <c r="C16" s="8">
        <v>5</v>
      </c>
      <c r="D16" s="8" t="s">
        <v>32</v>
      </c>
      <c r="E16" s="9">
        <v>1</v>
      </c>
      <c r="F16" s="8">
        <v>78</v>
      </c>
      <c r="G16" s="25" t="str">
        <f>IF(F16="","",VLOOKUP(F16,$Y$4:$Z$15,2,TRUE))</f>
        <v>A-</v>
      </c>
      <c r="H16" s="8">
        <v>78</v>
      </c>
      <c r="I16" s="26" t="str">
        <f>IF(H16="","",VLOOKUP(H16,$Y$4:$Z$15,2,TRUE))</f>
        <v>A-</v>
      </c>
      <c r="J16" s="8">
        <v>89</v>
      </c>
      <c r="K16" s="26" t="str">
        <f>IF(J16="","",VLOOKUP(J16,$Y$4:$Z$15,2,TRUE))</f>
        <v>A</v>
      </c>
      <c r="L16" s="8">
        <v>53</v>
      </c>
      <c r="M16" s="26" t="str">
        <f>IF(L16="","",VLOOKUP(L16,$Y$4:$Z$15,2,TRUE))</f>
        <v>C</v>
      </c>
      <c r="N16" s="8">
        <v>67</v>
      </c>
      <c r="O16" s="26" t="str">
        <f>IF(N16="","",VLOOKUP(N16,$Y$4:$Z$15,2,TRUE))</f>
        <v>B</v>
      </c>
      <c r="P16" s="23">
        <f>IF(COUNT(F16:O16)=0,"",SUM(F16:O16))</f>
        <v>365</v>
      </c>
      <c r="Q16" s="23">
        <f>IF(P16="","",P16/500*12)</f>
        <v>8.76</v>
      </c>
      <c r="R16" s="23" t="str">
        <f>IF(Q16="","",VLOOKUP(Q16,$W$4:$X$15,2,TRUE))</f>
        <v>B</v>
      </c>
      <c r="S16" s="23">
        <f>IF(P16="","",RANK(P16,$P$5:$P$998,0))</f>
        <v>11</v>
      </c>
      <c r="T16" s="23" t="str">
        <f>IFERROR(VLOOKUP(R16,$AA$4:$AB$15,2,FALSE),"")</f>
        <v>VERY GOOD</v>
      </c>
      <c r="U16" s="10"/>
      <c r="AG16" s="14">
        <v>67</v>
      </c>
      <c r="AH16" s="14" t="s">
        <v>26</v>
      </c>
    </row>
    <row r="17" spans="3:35" x14ac:dyDescent="0.25">
      <c r="C17" s="8">
        <v>7</v>
      </c>
      <c r="D17" s="8" t="s">
        <v>34</v>
      </c>
      <c r="E17" s="9">
        <v>1</v>
      </c>
      <c r="F17" s="8">
        <v>90</v>
      </c>
      <c r="G17" s="25" t="str">
        <f>IF(F17="","",VLOOKUP(F17,$Y$4:$Z$15,2,TRUE))</f>
        <v>A</v>
      </c>
      <c r="H17" s="8">
        <v>67</v>
      </c>
      <c r="I17" s="26" t="str">
        <f>IF(H17="","",VLOOKUP(H17,$Y$4:$Z$15,2,TRUE))</f>
        <v>B</v>
      </c>
      <c r="J17" s="8">
        <v>34</v>
      </c>
      <c r="K17" s="26" t="str">
        <f>IF(J17="","",VLOOKUP(J17,$Y$4:$Z$15,2,TRUE))</f>
        <v>D-</v>
      </c>
      <c r="L17" s="8">
        <v>80</v>
      </c>
      <c r="M17" s="26" t="str">
        <f>IF(L17="","",VLOOKUP(L17,$Y$4:$Z$15,2,TRUE))</f>
        <v>A</v>
      </c>
      <c r="N17" s="8">
        <v>90</v>
      </c>
      <c r="O17" s="26" t="str">
        <f>IF(N17="","",VLOOKUP(N17,$Y$4:$Z$15,2,TRUE))</f>
        <v>A</v>
      </c>
      <c r="P17" s="23">
        <f>IF(COUNT(F17:O17)=0,"",SUM(F17:O17))</f>
        <v>361</v>
      </c>
      <c r="Q17" s="23">
        <f>IF(P17="","",P17/500*12)</f>
        <v>8.6639999999999997</v>
      </c>
      <c r="R17" s="23" t="str">
        <f>IF(Q17="","",VLOOKUP(Q17,$W$4:$X$15,2,TRUE))</f>
        <v>B</v>
      </c>
      <c r="S17" s="23">
        <f>IF(P17="","",RANK(P17,$P$5:$P$998,0))</f>
        <v>12</v>
      </c>
      <c r="T17" s="23" t="str">
        <f>IFERROR(VLOOKUP(R17,$AA$4:$AB$15,2,FALSE),"")</f>
        <v>VERY GOOD</v>
      </c>
      <c r="U17" s="10"/>
      <c r="AG17" s="14">
        <v>89</v>
      </c>
      <c r="AH17" s="14" t="s">
        <v>28</v>
      </c>
    </row>
    <row r="18" spans="3:35" x14ac:dyDescent="0.25">
      <c r="C18" s="8">
        <v>5</v>
      </c>
      <c r="D18" s="8" t="s">
        <v>35</v>
      </c>
      <c r="E18" s="9">
        <v>1</v>
      </c>
      <c r="F18" s="8">
        <v>56</v>
      </c>
      <c r="G18" s="25" t="str">
        <f>IF(F18="","",VLOOKUP(F18,$Y$4:$Z$15,2,TRUE))</f>
        <v>C+</v>
      </c>
      <c r="H18" s="8">
        <v>100</v>
      </c>
      <c r="I18" s="26" t="str">
        <f>IF(H18="","",VLOOKUP(H18,$Y$4:$Z$15,2,TRUE))</f>
        <v>A</v>
      </c>
      <c r="J18" s="8">
        <v>100</v>
      </c>
      <c r="K18" s="26" t="str">
        <f>IF(J18="","",VLOOKUP(J18,$Y$4:$Z$15,2,TRUE))</f>
        <v>A</v>
      </c>
      <c r="L18" s="8">
        <v>100</v>
      </c>
      <c r="M18" s="26" t="str">
        <f>IF(L18="","",VLOOKUP(L18,$Y$4:$Z$15,2,TRUE))</f>
        <v>A</v>
      </c>
      <c r="N18" s="8"/>
      <c r="O18" s="26" t="str">
        <f>IF(N18="","",VLOOKUP(N18,$Y$4:$Z$15,2,TRUE))</f>
        <v/>
      </c>
      <c r="P18" s="23">
        <f>IF(COUNT(F18:O18)=0,"",SUM(F18:O18))</f>
        <v>356</v>
      </c>
      <c r="Q18" s="23">
        <f>IF(P18="","",P18/500*12)</f>
        <v>8.5440000000000005</v>
      </c>
      <c r="R18" s="23" t="str">
        <f>IF(Q18="","",VLOOKUP(Q18,$W$4:$X$15,2,TRUE))</f>
        <v>B</v>
      </c>
      <c r="S18" s="23">
        <f>IF(P18="","",RANK(P18,$P$5:$P$998,0))</f>
        <v>13</v>
      </c>
      <c r="T18" s="23" t="str">
        <f>IFERROR(VLOOKUP(R18,$AA$4:$AB$15,2,FALSE),"")</f>
        <v>VERY GOOD</v>
      </c>
      <c r="U18" s="10"/>
      <c r="AG18" s="14">
        <v>88</v>
      </c>
      <c r="AH18" s="14" t="s">
        <v>28</v>
      </c>
    </row>
    <row r="19" spans="3:35" x14ac:dyDescent="0.25">
      <c r="C19" s="8">
        <v>12</v>
      </c>
      <c r="D19" s="8" t="s">
        <v>54</v>
      </c>
      <c r="E19" s="9">
        <v>1</v>
      </c>
      <c r="F19" s="8">
        <v>56</v>
      </c>
      <c r="G19" s="25" t="str">
        <f>IF(F19="","",VLOOKUP(F19,$Y$4:$Z$15,2,TRUE))</f>
        <v>C+</v>
      </c>
      <c r="H19" s="8">
        <v>65</v>
      </c>
      <c r="I19" s="26" t="str">
        <f>IF(H19="","",VLOOKUP(H19,$Y$4:$Z$15,2,TRUE))</f>
        <v>B</v>
      </c>
      <c r="J19" s="8">
        <v>67</v>
      </c>
      <c r="K19" s="26" t="str">
        <f>IF(J19="","",VLOOKUP(J19,$Y$4:$Z$15,2,TRUE))</f>
        <v>B</v>
      </c>
      <c r="L19" s="8">
        <v>78</v>
      </c>
      <c r="M19" s="26" t="str">
        <f>IF(L19="","",VLOOKUP(L19,$Y$4:$Z$15,2,TRUE))</f>
        <v>A-</v>
      </c>
      <c r="N19" s="8">
        <v>89</v>
      </c>
      <c r="O19" s="26" t="str">
        <f>IF(N19="","",VLOOKUP(N19,$Y$4:$Z$15,2,TRUE))</f>
        <v>A</v>
      </c>
      <c r="P19" s="23">
        <f>IF(COUNT(F19:O19)=0,"",SUM(F19:O19))</f>
        <v>355</v>
      </c>
      <c r="Q19" s="23">
        <f>IF(P19="","",P19/500*12)</f>
        <v>8.52</v>
      </c>
      <c r="R19" s="23" t="str">
        <f>IF(Q19="","",VLOOKUP(Q19,$W$4:$X$15,2,TRUE))</f>
        <v>B</v>
      </c>
      <c r="S19" s="23">
        <f>IF(P19="","",RANK(P19,$P$5:$P$998,0))</f>
        <v>14</v>
      </c>
      <c r="T19" s="23" t="str">
        <f>IFERROR(VLOOKUP(R19,$AA$4:$AB$15,2,FALSE),"")</f>
        <v>VERY GOOD</v>
      </c>
      <c r="U19" s="10"/>
    </row>
    <row r="20" spans="3:35" x14ac:dyDescent="0.25">
      <c r="C20" s="8">
        <v>13</v>
      </c>
      <c r="D20" s="8" t="s">
        <v>55</v>
      </c>
      <c r="E20" s="9">
        <v>1</v>
      </c>
      <c r="F20" s="8">
        <v>67</v>
      </c>
      <c r="G20" s="25" t="str">
        <f>IF(F20="","",VLOOKUP(F20,$Y$4:$Z$15,2,TRUE))</f>
        <v>B</v>
      </c>
      <c r="H20" s="8">
        <v>67</v>
      </c>
      <c r="I20" s="26" t="str">
        <f>IF(H20="","",VLOOKUP(H20,$Y$4:$Z$15,2,TRUE))</f>
        <v>B</v>
      </c>
      <c r="J20" s="8">
        <v>67</v>
      </c>
      <c r="K20" s="26" t="str">
        <f>IF(J20="","",VLOOKUP(J20,$Y$4:$Z$15,2,TRUE))</f>
        <v>B</v>
      </c>
      <c r="L20" s="8">
        <v>67</v>
      </c>
      <c r="M20" s="26" t="str">
        <f>IF(L20="","",VLOOKUP(L20,$Y$4:$Z$15,2,TRUE))</f>
        <v>B</v>
      </c>
      <c r="N20" s="8">
        <v>67</v>
      </c>
      <c r="O20" s="26" t="str">
        <f>IF(N20="","",VLOOKUP(N20,$Y$4:$Z$15,2,TRUE))</f>
        <v>B</v>
      </c>
      <c r="P20" s="23">
        <f>IF(COUNT(F20:O20)=0,"",SUM(F20:O20))</f>
        <v>335</v>
      </c>
      <c r="Q20" s="23">
        <f>IF(P20="","",P20/500*12)</f>
        <v>8.0400000000000009</v>
      </c>
      <c r="R20" s="23" t="str">
        <f>IF(Q20="","",VLOOKUP(Q20,$W$4:$X$15,2,TRUE))</f>
        <v>B-</v>
      </c>
      <c r="S20" s="23">
        <f>IF(P20="","",RANK(P20,$P$5:$P$998,0))</f>
        <v>15</v>
      </c>
      <c r="T20" s="23" t="str">
        <f>IFERROR(VLOOKUP(R20,$AA$4:$AB$15,2,FALSE),"")</f>
        <v>VERY GOOD</v>
      </c>
      <c r="U20" s="10"/>
      <c r="AG20" s="14">
        <v>367</v>
      </c>
      <c r="AI20" s="14" t="s">
        <v>26</v>
      </c>
    </row>
    <row r="21" spans="3:35" x14ac:dyDescent="0.25">
      <c r="C21" s="8">
        <v>14</v>
      </c>
      <c r="D21" s="8" t="s">
        <v>56</v>
      </c>
      <c r="E21" s="9">
        <v>1</v>
      </c>
      <c r="F21" s="8">
        <v>67</v>
      </c>
      <c r="G21" s="25" t="str">
        <f>IF(F21="","",VLOOKUP(F21,$Y$4:$Z$15,2,TRUE))</f>
        <v>B</v>
      </c>
      <c r="H21" s="8">
        <v>67</v>
      </c>
      <c r="I21" s="26" t="str">
        <f>IF(H21="","",VLOOKUP(H21,$Y$4:$Z$15,2,TRUE))</f>
        <v>B</v>
      </c>
      <c r="J21" s="8">
        <v>67</v>
      </c>
      <c r="K21" s="26" t="str">
        <f>IF(J21="","",VLOOKUP(J21,$Y$4:$Z$15,2,TRUE))</f>
        <v>B</v>
      </c>
      <c r="L21" s="8">
        <v>67</v>
      </c>
      <c r="M21" s="26" t="str">
        <f>IF(L21="","",VLOOKUP(L21,$Y$4:$Z$15,2,TRUE))</f>
        <v>B</v>
      </c>
      <c r="N21" s="8">
        <v>67</v>
      </c>
      <c r="O21" s="26" t="str">
        <f>IF(N21="","",VLOOKUP(N21,$Y$4:$Z$15,2,TRUE))</f>
        <v>B</v>
      </c>
      <c r="P21" s="23">
        <f>IF(COUNT(F21:O21)=0,"",SUM(F21:O21))</f>
        <v>335</v>
      </c>
      <c r="Q21" s="23">
        <f>IF(P21="","",P21/500*12)</f>
        <v>8.0400000000000009</v>
      </c>
      <c r="R21" s="23" t="str">
        <f>IF(Q21="","",VLOOKUP(Q21,$W$4:$X$15,2,TRUE))</f>
        <v>B-</v>
      </c>
      <c r="S21" s="23">
        <f>IF(P21="","",RANK(P21,$P$5:$P$998,0))</f>
        <v>15</v>
      </c>
      <c r="T21" s="23" t="str">
        <f>IFERROR(VLOOKUP(R21,$AA$4:$AB$15,2,FALSE),"")</f>
        <v>VERY GOOD</v>
      </c>
      <c r="U21" s="10"/>
      <c r="AG21" s="14">
        <v>7</v>
      </c>
      <c r="AI21" s="14" t="s">
        <v>52</v>
      </c>
    </row>
    <row r="22" spans="3:35" x14ac:dyDescent="0.25">
      <c r="C22" s="8">
        <v>17</v>
      </c>
      <c r="D22" s="8" t="s">
        <v>71</v>
      </c>
      <c r="E22" s="9">
        <v>1</v>
      </c>
      <c r="F22" s="8">
        <v>67</v>
      </c>
      <c r="G22" s="25" t="str">
        <f>IF(F22="","",VLOOKUP(F22,$Y$4:$Z$15,2,TRUE))</f>
        <v>B</v>
      </c>
      <c r="H22" s="8">
        <v>67</v>
      </c>
      <c r="I22" s="26" t="str">
        <f>IF(H22="","",VLOOKUP(H22,$Y$4:$Z$15,2,TRUE))</f>
        <v>B</v>
      </c>
      <c r="J22" s="8">
        <v>67</v>
      </c>
      <c r="K22" s="26" t="str">
        <f>IF(J22="","",VLOOKUP(J22,$Y$4:$Z$15,2,TRUE))</f>
        <v>B</v>
      </c>
      <c r="L22" s="8">
        <v>67</v>
      </c>
      <c r="M22" s="26" t="str">
        <f>IF(L22="","",VLOOKUP(L22,$Y$4:$Z$15,2,TRUE))</f>
        <v>B</v>
      </c>
      <c r="N22" s="8">
        <v>67</v>
      </c>
      <c r="O22" s="26" t="str">
        <f>IF(N22="","",VLOOKUP(N22,$Y$4:$Z$15,2,TRUE))</f>
        <v>B</v>
      </c>
      <c r="P22" s="23">
        <f>IF(COUNT(F22:O22)=0,"",SUM(F22:O22))</f>
        <v>335</v>
      </c>
      <c r="Q22" s="23">
        <f>IF(P22="","",P22/500*12)</f>
        <v>8.0400000000000009</v>
      </c>
      <c r="R22" s="23" t="str">
        <f>IF(Q22="","",VLOOKUP(Q22,$W$4:$X$15,2,TRUE))</f>
        <v>B-</v>
      </c>
      <c r="S22" s="23">
        <f>IF(P22="","",RANK(P22,$P$5:$P$998,0))</f>
        <v>15</v>
      </c>
      <c r="T22" s="23" t="str">
        <f>IFERROR(VLOOKUP(R22,$AA$4:$AB$15,2,FALSE),"")</f>
        <v>VERY GOOD</v>
      </c>
      <c r="U22" s="10"/>
    </row>
    <row r="23" spans="3:35" x14ac:dyDescent="0.25">
      <c r="C23" s="8">
        <v>34</v>
      </c>
      <c r="D23" s="8" t="s">
        <v>14</v>
      </c>
      <c r="E23" s="9">
        <v>1</v>
      </c>
      <c r="F23" s="8">
        <v>67</v>
      </c>
      <c r="G23" s="25" t="str">
        <f>IF(F23="","",VLOOKUP(F23,$Y$4:$Z$15,2,TRUE))</f>
        <v>B</v>
      </c>
      <c r="H23" s="8">
        <v>90</v>
      </c>
      <c r="I23" s="26" t="str">
        <f>IF(H23="","",VLOOKUP(H23,$Y$4:$Z$15,2,TRUE))</f>
        <v>A</v>
      </c>
      <c r="J23" s="8">
        <v>89</v>
      </c>
      <c r="K23" s="26" t="str">
        <f>IF(J23="","",VLOOKUP(J23,$Y$4:$Z$15,2,TRUE))</f>
        <v>A</v>
      </c>
      <c r="L23" s="8">
        <v>69</v>
      </c>
      <c r="M23" s="26" t="str">
        <f>IF(L23="","",VLOOKUP(L23,$Y$4:$Z$15,2,TRUE))</f>
        <v>B</v>
      </c>
      <c r="N23" s="8">
        <v>10</v>
      </c>
      <c r="O23" s="26" t="str">
        <f>IF(N23="","",VLOOKUP(N23,$Y$4:$Z$15,2,TRUE))</f>
        <v>E</v>
      </c>
      <c r="P23" s="23">
        <f>IF(COUNT(F23:O23)=0,"",SUM(F23:O23))</f>
        <v>325</v>
      </c>
      <c r="Q23" s="23">
        <f>IF(P23="","",P23/500*12)</f>
        <v>7.8000000000000007</v>
      </c>
      <c r="R23" s="23" t="str">
        <f>IF(Q23="","",VLOOKUP(Q23,$W$4:$X$15,2,TRUE))</f>
        <v>B-</v>
      </c>
      <c r="S23" s="23">
        <f>IF(P23="","",RANK(P23,$P$5:$P$998,0))</f>
        <v>18</v>
      </c>
      <c r="T23" s="23" t="str">
        <f>IFERROR(VLOOKUP(R23,$AA$4:$AB$15,2,FALSE),"")</f>
        <v>VERY GOOD</v>
      </c>
      <c r="U23" s="10"/>
    </row>
    <row r="24" spans="3:35" x14ac:dyDescent="0.25">
      <c r="C24" s="8">
        <v>10</v>
      </c>
      <c r="D24" s="8" t="s">
        <v>37</v>
      </c>
      <c r="E24" s="9">
        <v>1</v>
      </c>
      <c r="F24" s="8">
        <v>67</v>
      </c>
      <c r="G24" s="25" t="str">
        <f>IF(F24="","",VLOOKUP(F24,$Y$4:$Z$15,2,TRUE))</f>
        <v>B</v>
      </c>
      <c r="H24" s="8">
        <v>56</v>
      </c>
      <c r="I24" s="26" t="str">
        <f>IF(H24="","",VLOOKUP(H24,$Y$4:$Z$15,2,TRUE))</f>
        <v>C+</v>
      </c>
      <c r="J24" s="8">
        <v>45</v>
      </c>
      <c r="K24" s="26" t="str">
        <f>IF(J24="","",VLOOKUP(J24,$Y$4:$Z$15,2,TRUE))</f>
        <v>C-</v>
      </c>
      <c r="L24" s="8">
        <v>78</v>
      </c>
      <c r="M24" s="26" t="str">
        <f>IF(L24="","",VLOOKUP(L24,$Y$4:$Z$15,2,TRUE))</f>
        <v>A-</v>
      </c>
      <c r="N24" s="8">
        <v>77</v>
      </c>
      <c r="O24" s="26" t="str">
        <f>IF(N24="","",VLOOKUP(N24,$Y$4:$Z$15,2,TRUE))</f>
        <v>A-</v>
      </c>
      <c r="P24" s="23">
        <f>IF(COUNT(F24:O24)=0,"",SUM(F24:O24))</f>
        <v>323</v>
      </c>
      <c r="Q24" s="23">
        <f>IF(P24="","",P24/500*12)</f>
        <v>7.7520000000000007</v>
      </c>
      <c r="R24" s="23" t="str">
        <f>IF(Q24="","",VLOOKUP(Q24,$W$4:$X$15,2,TRUE))</f>
        <v>B-</v>
      </c>
      <c r="S24" s="23">
        <f>IF(P24="","",RANK(P24,$P$5:$P$998,0))</f>
        <v>19</v>
      </c>
      <c r="T24" s="23" t="str">
        <f>IFERROR(VLOOKUP(R24,$AA$4:$AB$15,2,FALSE),"")</f>
        <v>VERY GOOD</v>
      </c>
      <c r="U24" s="10"/>
    </row>
    <row r="25" spans="3:35" x14ac:dyDescent="0.25">
      <c r="C25" s="8">
        <v>9</v>
      </c>
      <c r="D25" s="8" t="s">
        <v>36</v>
      </c>
      <c r="E25" s="9">
        <v>1</v>
      </c>
      <c r="F25" s="8">
        <v>56</v>
      </c>
      <c r="G25" s="25" t="str">
        <f>IF(F25="","",VLOOKUP(F25,$Y$4:$Z$15,2,TRUE))</f>
        <v>C+</v>
      </c>
      <c r="H25" s="8">
        <v>90</v>
      </c>
      <c r="I25" s="26" t="str">
        <f>IF(H25="","",VLOOKUP(H25,$Y$4:$Z$15,2,TRUE))</f>
        <v>A</v>
      </c>
      <c r="J25" s="8">
        <v>46</v>
      </c>
      <c r="K25" s="26" t="str">
        <f>IF(J25="","",VLOOKUP(J25,$Y$4:$Z$15,2,TRUE))</f>
        <v>C-</v>
      </c>
      <c r="L25" s="8">
        <v>55</v>
      </c>
      <c r="M25" s="26" t="str">
        <f>IF(L25="","",VLOOKUP(L25,$Y$4:$Z$15,2,TRUE))</f>
        <v>C+</v>
      </c>
      <c r="N25" s="8">
        <v>67</v>
      </c>
      <c r="O25" s="26" t="str">
        <f>IF(N25="","",VLOOKUP(N25,$Y$4:$Z$15,2,TRUE))</f>
        <v>B</v>
      </c>
      <c r="P25" s="23">
        <f>IF(COUNT(F25:O25)=0,"",SUM(F25:O25))</f>
        <v>314</v>
      </c>
      <c r="Q25" s="23">
        <f>IF(P25="","",P25/500*12)</f>
        <v>7.5359999999999996</v>
      </c>
      <c r="R25" s="23" t="str">
        <f>IF(Q25="","",VLOOKUP(Q25,$W$4:$X$15,2,TRUE))</f>
        <v>B-</v>
      </c>
      <c r="S25" s="23">
        <f>IF(P25="","",RANK(P25,$P$5:$P$998,0))</f>
        <v>20</v>
      </c>
      <c r="T25" s="23" t="str">
        <f>IFERROR(VLOOKUP(R25,$AA$4:$AB$15,2,FALSE),"")</f>
        <v>VERY GOOD</v>
      </c>
      <c r="U25" s="10"/>
    </row>
    <row r="26" spans="3:35" x14ac:dyDescent="0.25">
      <c r="C26" s="8">
        <v>11</v>
      </c>
      <c r="D26" s="8" t="s">
        <v>38</v>
      </c>
      <c r="E26" s="9">
        <v>1</v>
      </c>
      <c r="F26" s="8">
        <v>45</v>
      </c>
      <c r="G26" s="25" t="str">
        <f>IF(F26="","",VLOOKUP(F26,$Y$4:$Z$15,2,TRUE))</f>
        <v>C-</v>
      </c>
      <c r="H26" s="8">
        <v>20</v>
      </c>
      <c r="I26" s="26" t="str">
        <f>IF(H26="","",VLOOKUP(H26,$Y$4:$Z$15,2,TRUE))</f>
        <v>E</v>
      </c>
      <c r="J26" s="8">
        <v>89</v>
      </c>
      <c r="K26" s="26" t="str">
        <f>IF(J26="","",VLOOKUP(J26,$Y$4:$Z$15,2,TRUE))</f>
        <v>A</v>
      </c>
      <c r="L26" s="8">
        <v>67</v>
      </c>
      <c r="M26" s="26" t="str">
        <f>IF(L26="","",VLOOKUP(L26,$Y$4:$Z$15,2,TRUE))</f>
        <v>B</v>
      </c>
      <c r="N26" s="8">
        <v>90</v>
      </c>
      <c r="O26" s="26" t="str">
        <f>IF(N26="","",VLOOKUP(N26,$Y$4:$Z$15,2,TRUE))</f>
        <v>A</v>
      </c>
      <c r="P26" s="23">
        <f>IF(COUNT(F26:O26)=0,"",SUM(F26:O26))</f>
        <v>311</v>
      </c>
      <c r="Q26" s="23">
        <f>IF(P26="","",P26/500*12)</f>
        <v>7.4640000000000004</v>
      </c>
      <c r="R26" s="23" t="str">
        <f>IF(Q26="","",VLOOKUP(Q26,$W$4:$X$15,2,TRUE))</f>
        <v>C+</v>
      </c>
      <c r="S26" s="23">
        <f>IF(P26="","",RANK(P26,$P$5:$P$998,0))</f>
        <v>21</v>
      </c>
      <c r="T26" s="23" t="str">
        <f>IFERROR(VLOOKUP(R26,$AA$4:$AB$15,2,FALSE),"")</f>
        <v>GOOD</v>
      </c>
      <c r="U26" s="10"/>
    </row>
    <row r="27" spans="3:35" x14ac:dyDescent="0.25">
      <c r="C27" s="8">
        <v>6</v>
      </c>
      <c r="D27" s="8" t="s">
        <v>17</v>
      </c>
      <c r="E27" s="9">
        <v>1</v>
      </c>
      <c r="F27" s="8">
        <v>56</v>
      </c>
      <c r="G27" s="25" t="str">
        <f>IF(F27="","",VLOOKUP(F27,$Y$4:$Z$15,2,TRUE))</f>
        <v>C+</v>
      </c>
      <c r="H27" s="8">
        <v>66</v>
      </c>
      <c r="I27" s="26" t="str">
        <f>IF(H27="","",VLOOKUP(H27,$Y$4:$Z$15,2,TRUE))</f>
        <v>B</v>
      </c>
      <c r="J27" s="8">
        <v>45</v>
      </c>
      <c r="K27" s="26" t="str">
        <f>IF(J27="","",VLOOKUP(J27,$Y$4:$Z$15,2,TRUE))</f>
        <v>C-</v>
      </c>
      <c r="L27" s="8">
        <v>40</v>
      </c>
      <c r="M27" s="26" t="str">
        <f>IF(L27="","",VLOOKUP(L27,$Y$4:$Z$15,2,TRUE))</f>
        <v>D+</v>
      </c>
      <c r="N27" s="8">
        <v>100</v>
      </c>
      <c r="O27" s="26" t="str">
        <f>IF(N27="","",VLOOKUP(N27,$Y$4:$Z$15,2,TRUE))</f>
        <v>A</v>
      </c>
      <c r="P27" s="23">
        <f>IF(COUNT(F27:O27)=0,"",SUM(F27:O27))</f>
        <v>307</v>
      </c>
      <c r="Q27" s="23">
        <f>IF(P27="","",P27/500*12)</f>
        <v>7.3680000000000003</v>
      </c>
      <c r="R27" s="23" t="str">
        <f>IF(Q27="","",VLOOKUP(Q27,$W$4:$X$15,2,TRUE))</f>
        <v>C+</v>
      </c>
      <c r="S27" s="23">
        <f>IF(P27="","",RANK(P27,$P$5:$P$998,0))</f>
        <v>22</v>
      </c>
      <c r="T27" s="23" t="str">
        <f>IFERROR(VLOOKUP(R27,$AA$4:$AB$15,2,FALSE),"")</f>
        <v>GOOD</v>
      </c>
      <c r="U27" s="10"/>
    </row>
    <row r="28" spans="3:35" x14ac:dyDescent="0.25">
      <c r="C28" s="8"/>
      <c r="D28" s="8"/>
      <c r="E28" s="8"/>
      <c r="F28" s="8"/>
      <c r="G28" s="25" t="str">
        <f t="shared" ref="G27:G36" si="0">IF(F28="","",VLOOKUP(F28,$Y$4:$Z$15,2,TRUE))</f>
        <v/>
      </c>
      <c r="H28" s="8"/>
      <c r="I28" s="26" t="str">
        <f t="shared" ref="I27:I36" si="1">IF(H28="","",VLOOKUP(H28,$Y$4:$Z$15,2,TRUE))</f>
        <v/>
      </c>
      <c r="J28" s="8"/>
      <c r="K28" s="26" t="str">
        <f t="shared" ref="K27:K36" si="2">IF(J28="","",VLOOKUP(J28,$Y$4:$Z$15,2,TRUE))</f>
        <v/>
      </c>
      <c r="L28" s="8"/>
      <c r="M28" s="26" t="str">
        <f t="shared" ref="M27:M36" si="3">IF(L28="","",VLOOKUP(L28,$Y$4:$Z$15,2,TRUE))</f>
        <v/>
      </c>
      <c r="N28" s="8"/>
      <c r="O28" s="26" t="str">
        <f t="shared" ref="O27:O36" si="4">IF(N28="","",VLOOKUP(N28,$Y$4:$Z$15,2,TRUE))</f>
        <v/>
      </c>
      <c r="P28" s="23" t="str">
        <f t="shared" ref="P27:P42" si="5">IF(COUNT(F28:O28)=0,"",SUM(F28:O28))</f>
        <v/>
      </c>
      <c r="Q28" s="23" t="str">
        <f t="shared" ref="Q27:Q36" si="6">IF(P28="","",P28/500*12)</f>
        <v/>
      </c>
      <c r="R28" s="23" t="str">
        <f t="shared" ref="R27:R36" si="7">IF(Q28="","",VLOOKUP(Q28,$W$4:$X$15,2,TRUE))</f>
        <v/>
      </c>
      <c r="S28" s="23" t="str">
        <f t="shared" ref="S27:S36" si="8">IF(P28="","",RANK(P28,$P$5:$P$998,0))</f>
        <v/>
      </c>
      <c r="T28" s="23" t="str">
        <f t="shared" ref="T27:T36" si="9">IFERROR(VLOOKUP(R28,$AA$4:$AB$15,2,FALSE),"")</f>
        <v/>
      </c>
      <c r="U28" s="10"/>
    </row>
    <row r="29" spans="3:35" x14ac:dyDescent="0.25">
      <c r="C29" s="8"/>
      <c r="D29" s="8"/>
      <c r="E29" s="8"/>
      <c r="F29" s="8"/>
      <c r="G29" s="25" t="str">
        <f t="shared" si="0"/>
        <v/>
      </c>
      <c r="H29" s="8"/>
      <c r="I29" s="26" t="str">
        <f t="shared" si="1"/>
        <v/>
      </c>
      <c r="J29" s="8"/>
      <c r="K29" s="26" t="str">
        <f t="shared" si="2"/>
        <v/>
      </c>
      <c r="L29" s="8"/>
      <c r="M29" s="26" t="str">
        <f t="shared" si="3"/>
        <v/>
      </c>
      <c r="N29" s="8"/>
      <c r="O29" s="26" t="str">
        <f t="shared" si="4"/>
        <v/>
      </c>
      <c r="P29" s="23" t="str">
        <f t="shared" si="5"/>
        <v/>
      </c>
      <c r="Q29" s="23" t="str">
        <f t="shared" si="6"/>
        <v/>
      </c>
      <c r="R29" s="23" t="str">
        <f t="shared" si="7"/>
        <v/>
      </c>
      <c r="S29" s="23" t="str">
        <f t="shared" si="8"/>
        <v/>
      </c>
      <c r="T29" s="23" t="str">
        <f t="shared" si="9"/>
        <v/>
      </c>
      <c r="U29" s="10"/>
    </row>
    <row r="30" spans="3:35" x14ac:dyDescent="0.25">
      <c r="C30" s="8"/>
      <c r="D30" s="8"/>
      <c r="E30" s="8"/>
      <c r="F30" s="8"/>
      <c r="G30" s="25" t="str">
        <f t="shared" si="0"/>
        <v/>
      </c>
      <c r="H30" s="8"/>
      <c r="I30" s="26" t="str">
        <f t="shared" si="1"/>
        <v/>
      </c>
      <c r="J30" s="8"/>
      <c r="K30" s="26" t="str">
        <f t="shared" si="2"/>
        <v/>
      </c>
      <c r="L30" s="8"/>
      <c r="M30" s="26" t="str">
        <f t="shared" si="3"/>
        <v/>
      </c>
      <c r="N30" s="8"/>
      <c r="O30" s="26" t="str">
        <f t="shared" si="4"/>
        <v/>
      </c>
      <c r="P30" s="23" t="str">
        <f t="shared" si="5"/>
        <v/>
      </c>
      <c r="Q30" s="23" t="str">
        <f t="shared" si="6"/>
        <v/>
      </c>
      <c r="R30" s="23" t="str">
        <f t="shared" si="7"/>
        <v/>
      </c>
      <c r="S30" s="23" t="str">
        <f t="shared" si="8"/>
        <v/>
      </c>
      <c r="T30" s="23" t="str">
        <f t="shared" si="9"/>
        <v/>
      </c>
      <c r="U30" s="10"/>
    </row>
    <row r="31" spans="3:35" x14ac:dyDescent="0.25">
      <c r="C31" s="8"/>
      <c r="D31" s="8"/>
      <c r="E31" s="8"/>
      <c r="F31" s="8"/>
      <c r="G31" s="25" t="str">
        <f t="shared" si="0"/>
        <v/>
      </c>
      <c r="H31" s="8"/>
      <c r="I31" s="26" t="str">
        <f t="shared" si="1"/>
        <v/>
      </c>
      <c r="J31" s="8"/>
      <c r="K31" s="26" t="str">
        <f t="shared" si="2"/>
        <v/>
      </c>
      <c r="L31" s="8"/>
      <c r="M31" s="26" t="str">
        <f t="shared" si="3"/>
        <v/>
      </c>
      <c r="N31" s="8"/>
      <c r="O31" s="26" t="str">
        <f t="shared" si="4"/>
        <v/>
      </c>
      <c r="P31" s="23" t="str">
        <f t="shared" si="5"/>
        <v/>
      </c>
      <c r="Q31" s="23" t="str">
        <f t="shared" si="6"/>
        <v/>
      </c>
      <c r="R31" s="23" t="str">
        <f t="shared" si="7"/>
        <v/>
      </c>
      <c r="S31" s="23" t="str">
        <f t="shared" si="8"/>
        <v/>
      </c>
      <c r="T31" s="23" t="str">
        <f t="shared" si="9"/>
        <v/>
      </c>
      <c r="U31" s="10"/>
    </row>
    <row r="32" spans="3:35" x14ac:dyDescent="0.25">
      <c r="C32" s="8"/>
      <c r="D32" s="8"/>
      <c r="E32" s="8"/>
      <c r="F32" s="8"/>
      <c r="G32" s="25" t="str">
        <f t="shared" si="0"/>
        <v/>
      </c>
      <c r="H32" s="8"/>
      <c r="I32" s="26" t="str">
        <f t="shared" si="1"/>
        <v/>
      </c>
      <c r="J32" s="8"/>
      <c r="K32" s="26" t="str">
        <f t="shared" si="2"/>
        <v/>
      </c>
      <c r="L32" s="8"/>
      <c r="M32" s="26" t="str">
        <f t="shared" si="3"/>
        <v/>
      </c>
      <c r="N32" s="8"/>
      <c r="O32" s="26" t="str">
        <f t="shared" si="4"/>
        <v/>
      </c>
      <c r="P32" s="23" t="str">
        <f t="shared" si="5"/>
        <v/>
      </c>
      <c r="Q32" s="23" t="str">
        <f t="shared" si="6"/>
        <v/>
      </c>
      <c r="R32" s="23" t="str">
        <f t="shared" si="7"/>
        <v/>
      </c>
      <c r="S32" s="23" t="str">
        <f t="shared" si="8"/>
        <v/>
      </c>
      <c r="T32" s="23" t="str">
        <f t="shared" si="9"/>
        <v/>
      </c>
      <c r="U32" s="10"/>
    </row>
    <row r="33" spans="3:21" x14ac:dyDescent="0.25">
      <c r="C33" s="8"/>
      <c r="D33" s="8"/>
      <c r="E33" s="8"/>
      <c r="F33" s="8"/>
      <c r="G33" s="25" t="str">
        <f t="shared" si="0"/>
        <v/>
      </c>
      <c r="H33" s="8"/>
      <c r="I33" s="26" t="str">
        <f t="shared" si="1"/>
        <v/>
      </c>
      <c r="J33" s="8"/>
      <c r="K33" s="26" t="str">
        <f t="shared" si="2"/>
        <v/>
      </c>
      <c r="L33" s="8"/>
      <c r="M33" s="26" t="str">
        <f t="shared" si="3"/>
        <v/>
      </c>
      <c r="N33" s="8"/>
      <c r="O33" s="26" t="str">
        <f t="shared" si="4"/>
        <v/>
      </c>
      <c r="P33" s="23" t="str">
        <f t="shared" si="5"/>
        <v/>
      </c>
      <c r="Q33" s="23" t="str">
        <f t="shared" si="6"/>
        <v/>
      </c>
      <c r="R33" s="23" t="str">
        <f t="shared" si="7"/>
        <v/>
      </c>
      <c r="S33" s="23" t="str">
        <f t="shared" si="8"/>
        <v/>
      </c>
      <c r="T33" s="23" t="str">
        <f t="shared" si="9"/>
        <v/>
      </c>
      <c r="U33" s="10"/>
    </row>
    <row r="34" spans="3:21" x14ac:dyDescent="0.25">
      <c r="C34" s="8"/>
      <c r="D34" s="8"/>
      <c r="E34" s="8"/>
      <c r="F34" s="8"/>
      <c r="G34" s="25" t="str">
        <f t="shared" si="0"/>
        <v/>
      </c>
      <c r="H34" s="8"/>
      <c r="I34" s="26" t="str">
        <f t="shared" si="1"/>
        <v/>
      </c>
      <c r="J34" s="8"/>
      <c r="K34" s="26" t="str">
        <f t="shared" si="2"/>
        <v/>
      </c>
      <c r="L34" s="8"/>
      <c r="M34" s="26" t="str">
        <f t="shared" si="3"/>
        <v/>
      </c>
      <c r="N34" s="8"/>
      <c r="O34" s="26" t="str">
        <f t="shared" si="4"/>
        <v/>
      </c>
      <c r="P34" s="23" t="str">
        <f t="shared" si="5"/>
        <v/>
      </c>
      <c r="Q34" s="23" t="str">
        <f t="shared" si="6"/>
        <v/>
      </c>
      <c r="R34" s="23" t="str">
        <f t="shared" si="7"/>
        <v/>
      </c>
      <c r="S34" s="23" t="str">
        <f t="shared" si="8"/>
        <v/>
      </c>
      <c r="T34" s="23" t="str">
        <f t="shared" si="9"/>
        <v/>
      </c>
      <c r="U34" s="10"/>
    </row>
    <row r="35" spans="3:21" x14ac:dyDescent="0.25">
      <c r="C35" s="8"/>
      <c r="D35" s="8"/>
      <c r="E35" s="8"/>
      <c r="F35" s="8"/>
      <c r="G35" s="25" t="str">
        <f t="shared" si="0"/>
        <v/>
      </c>
      <c r="H35" s="8"/>
      <c r="I35" s="26" t="str">
        <f t="shared" si="1"/>
        <v/>
      </c>
      <c r="J35" s="8"/>
      <c r="K35" s="26" t="str">
        <f t="shared" si="2"/>
        <v/>
      </c>
      <c r="L35" s="8"/>
      <c r="M35" s="26" t="str">
        <f t="shared" si="3"/>
        <v/>
      </c>
      <c r="N35" s="8"/>
      <c r="O35" s="26" t="str">
        <f t="shared" si="4"/>
        <v/>
      </c>
      <c r="P35" s="23" t="str">
        <f t="shared" si="5"/>
        <v/>
      </c>
      <c r="Q35" s="23" t="str">
        <f t="shared" si="6"/>
        <v/>
      </c>
      <c r="R35" s="23" t="str">
        <f t="shared" si="7"/>
        <v/>
      </c>
      <c r="S35" s="23" t="str">
        <f t="shared" si="8"/>
        <v/>
      </c>
      <c r="T35" s="23" t="str">
        <f t="shared" si="9"/>
        <v/>
      </c>
      <c r="U35" s="10"/>
    </row>
    <row r="36" spans="3:21" x14ac:dyDescent="0.25">
      <c r="C36" s="8"/>
      <c r="D36" s="8"/>
      <c r="E36" s="8"/>
      <c r="F36" s="8"/>
      <c r="G36" s="25" t="str">
        <f t="shared" si="0"/>
        <v/>
      </c>
      <c r="H36" s="8"/>
      <c r="I36" s="26" t="str">
        <f t="shared" si="1"/>
        <v/>
      </c>
      <c r="J36" s="8"/>
      <c r="K36" s="26" t="str">
        <f t="shared" si="2"/>
        <v/>
      </c>
      <c r="L36" s="8"/>
      <c r="M36" s="26" t="str">
        <f t="shared" si="3"/>
        <v/>
      </c>
      <c r="N36" s="8"/>
      <c r="O36" s="26" t="str">
        <f t="shared" si="4"/>
        <v/>
      </c>
      <c r="P36" s="23" t="str">
        <f t="shared" si="5"/>
        <v/>
      </c>
      <c r="Q36" s="23" t="str">
        <f t="shared" si="6"/>
        <v/>
      </c>
      <c r="R36" s="23" t="str">
        <f t="shared" si="7"/>
        <v/>
      </c>
      <c r="S36" s="23" t="str">
        <f t="shared" si="8"/>
        <v/>
      </c>
      <c r="T36" s="23" t="str">
        <f t="shared" si="9"/>
        <v/>
      </c>
      <c r="U36" s="10"/>
    </row>
    <row r="37" spans="3:21" x14ac:dyDescent="0.25">
      <c r="C37" s="8"/>
      <c r="D37" s="8"/>
      <c r="E37" s="8"/>
      <c r="F37" s="8"/>
      <c r="G37" s="25" t="str">
        <f t="shared" ref="G37:G68" si="10">IF(F37="","",VLOOKUP(F37,$Y$4:$Z$15,2,TRUE))</f>
        <v/>
      </c>
      <c r="H37" s="8"/>
      <c r="I37" s="26" t="str">
        <f t="shared" ref="I37:I68" si="11">IF(H37="","",VLOOKUP(H37,$Y$4:$Z$15,2,TRUE))</f>
        <v/>
      </c>
      <c r="J37" s="8"/>
      <c r="K37" s="26" t="str">
        <f t="shared" ref="K37:K68" si="12">IF(J37="","",VLOOKUP(J37,$Y$4:$Z$15,2,TRUE))</f>
        <v/>
      </c>
      <c r="L37" s="8"/>
      <c r="M37" s="26" t="str">
        <f t="shared" ref="M37:M68" si="13">IF(L37="","",VLOOKUP(L37,$Y$4:$Z$15,2,TRUE))</f>
        <v/>
      </c>
      <c r="N37" s="8"/>
      <c r="O37" s="26" t="str">
        <f t="shared" ref="O37:O68" si="14">IF(N37="","",VLOOKUP(N37,$Y$4:$Z$15,2,TRUE))</f>
        <v/>
      </c>
      <c r="P37" s="23" t="str">
        <f t="shared" si="5"/>
        <v/>
      </c>
      <c r="Q37" s="23" t="str">
        <f t="shared" ref="Q37:Q68" si="15">IF(P37="","",P37/500*12)</f>
        <v/>
      </c>
      <c r="R37" s="23" t="str">
        <f t="shared" ref="R37:R68" si="16">IF(Q37="","",VLOOKUP(Q37,$W$4:$X$15,2,TRUE))</f>
        <v/>
      </c>
      <c r="S37" s="23" t="str">
        <f t="shared" ref="S37:S68" si="17">IF(P37="","",RANK(P37,$P$5:$P$998,0))</f>
        <v/>
      </c>
      <c r="T37" s="23" t="str">
        <f t="shared" ref="T37:T68" si="18">IFERROR(VLOOKUP(R37,$AA$4:$AB$15,2,FALSE),"")</f>
        <v/>
      </c>
      <c r="U37" s="10"/>
    </row>
    <row r="38" spans="3:21" x14ac:dyDescent="0.25">
      <c r="C38" s="8"/>
      <c r="D38" s="8"/>
      <c r="E38" s="8"/>
      <c r="F38" s="8"/>
      <c r="G38" s="25" t="str">
        <f t="shared" si="10"/>
        <v/>
      </c>
      <c r="H38" s="8"/>
      <c r="I38" s="26" t="str">
        <f t="shared" si="11"/>
        <v/>
      </c>
      <c r="J38" s="8"/>
      <c r="K38" s="26" t="str">
        <f t="shared" si="12"/>
        <v/>
      </c>
      <c r="L38" s="8"/>
      <c r="M38" s="26" t="str">
        <f t="shared" si="13"/>
        <v/>
      </c>
      <c r="N38" s="8"/>
      <c r="O38" s="26" t="str">
        <f t="shared" si="14"/>
        <v/>
      </c>
      <c r="P38" s="23" t="str">
        <f t="shared" si="5"/>
        <v/>
      </c>
      <c r="Q38" s="23" t="str">
        <f t="shared" si="15"/>
        <v/>
      </c>
      <c r="R38" s="23" t="str">
        <f t="shared" si="16"/>
        <v/>
      </c>
      <c r="S38" s="23" t="str">
        <f t="shared" si="17"/>
        <v/>
      </c>
      <c r="T38" s="23" t="str">
        <f t="shared" si="18"/>
        <v/>
      </c>
      <c r="U38" s="10"/>
    </row>
    <row r="39" spans="3:21" x14ac:dyDescent="0.25">
      <c r="C39" s="8"/>
      <c r="D39" s="8"/>
      <c r="E39" s="8"/>
      <c r="F39" s="8"/>
      <c r="G39" s="25" t="str">
        <f t="shared" si="10"/>
        <v/>
      </c>
      <c r="H39" s="8"/>
      <c r="I39" s="26" t="str">
        <f t="shared" si="11"/>
        <v/>
      </c>
      <c r="J39" s="8"/>
      <c r="K39" s="26" t="str">
        <f t="shared" si="12"/>
        <v/>
      </c>
      <c r="L39" s="8"/>
      <c r="M39" s="26" t="str">
        <f t="shared" si="13"/>
        <v/>
      </c>
      <c r="N39" s="8"/>
      <c r="O39" s="26" t="str">
        <f t="shared" si="14"/>
        <v/>
      </c>
      <c r="P39" s="23" t="str">
        <f t="shared" si="5"/>
        <v/>
      </c>
      <c r="Q39" s="23" t="str">
        <f t="shared" si="15"/>
        <v/>
      </c>
      <c r="R39" s="23" t="str">
        <f t="shared" si="16"/>
        <v/>
      </c>
      <c r="S39" s="23" t="str">
        <f t="shared" si="17"/>
        <v/>
      </c>
      <c r="T39" s="23" t="str">
        <f t="shared" si="18"/>
        <v/>
      </c>
      <c r="U39" s="10"/>
    </row>
    <row r="40" spans="3:21" x14ac:dyDescent="0.25">
      <c r="C40" s="8"/>
      <c r="D40" s="8"/>
      <c r="E40" s="8"/>
      <c r="F40" s="8"/>
      <c r="G40" s="25" t="str">
        <f t="shared" si="10"/>
        <v/>
      </c>
      <c r="H40" s="8"/>
      <c r="I40" s="26" t="str">
        <f t="shared" si="11"/>
        <v/>
      </c>
      <c r="J40" s="8"/>
      <c r="K40" s="26" t="str">
        <f t="shared" si="12"/>
        <v/>
      </c>
      <c r="L40" s="8"/>
      <c r="M40" s="26" t="str">
        <f t="shared" si="13"/>
        <v/>
      </c>
      <c r="N40" s="8"/>
      <c r="O40" s="26" t="str">
        <f t="shared" si="14"/>
        <v/>
      </c>
      <c r="P40" s="23" t="str">
        <f t="shared" si="5"/>
        <v/>
      </c>
      <c r="Q40" s="23" t="str">
        <f t="shared" si="15"/>
        <v/>
      </c>
      <c r="R40" s="23" t="str">
        <f t="shared" si="16"/>
        <v/>
      </c>
      <c r="S40" s="23" t="str">
        <f t="shared" si="17"/>
        <v/>
      </c>
      <c r="T40" s="23" t="str">
        <f t="shared" si="18"/>
        <v/>
      </c>
      <c r="U40" s="10"/>
    </row>
    <row r="41" spans="3:21" x14ac:dyDescent="0.25">
      <c r="C41" s="8"/>
      <c r="D41" s="8"/>
      <c r="E41" s="8"/>
      <c r="F41" s="8"/>
      <c r="G41" s="25" t="str">
        <f t="shared" si="10"/>
        <v/>
      </c>
      <c r="H41" s="8"/>
      <c r="I41" s="26" t="str">
        <f t="shared" si="11"/>
        <v/>
      </c>
      <c r="J41" s="8"/>
      <c r="K41" s="26" t="str">
        <f t="shared" si="12"/>
        <v/>
      </c>
      <c r="L41" s="8"/>
      <c r="M41" s="26" t="str">
        <f t="shared" si="13"/>
        <v/>
      </c>
      <c r="N41" s="8"/>
      <c r="O41" s="26" t="str">
        <f t="shared" si="14"/>
        <v/>
      </c>
      <c r="P41" s="23" t="str">
        <f t="shared" si="5"/>
        <v/>
      </c>
      <c r="Q41" s="23" t="str">
        <f t="shared" si="15"/>
        <v/>
      </c>
      <c r="R41" s="23" t="str">
        <f t="shared" si="16"/>
        <v/>
      </c>
      <c r="S41" s="23" t="str">
        <f t="shared" si="17"/>
        <v/>
      </c>
      <c r="T41" s="23" t="str">
        <f t="shared" si="18"/>
        <v/>
      </c>
      <c r="U41" s="10"/>
    </row>
    <row r="42" spans="3:21" x14ac:dyDescent="0.25">
      <c r="C42" s="8"/>
      <c r="D42" s="8"/>
      <c r="E42" s="8"/>
      <c r="F42" s="8"/>
      <c r="G42" s="25" t="str">
        <f t="shared" si="10"/>
        <v/>
      </c>
      <c r="H42" s="8"/>
      <c r="I42" s="26" t="str">
        <f t="shared" si="11"/>
        <v/>
      </c>
      <c r="J42" s="8"/>
      <c r="K42" s="26" t="str">
        <f t="shared" si="12"/>
        <v/>
      </c>
      <c r="L42" s="8"/>
      <c r="M42" s="26" t="str">
        <f t="shared" si="13"/>
        <v/>
      </c>
      <c r="N42" s="8"/>
      <c r="O42" s="26" t="str">
        <f t="shared" si="14"/>
        <v/>
      </c>
      <c r="P42" s="23" t="str">
        <f t="shared" si="5"/>
        <v/>
      </c>
      <c r="Q42" s="23" t="str">
        <f t="shared" si="15"/>
        <v/>
      </c>
      <c r="R42" s="23" t="str">
        <f t="shared" si="16"/>
        <v/>
      </c>
      <c r="S42" s="23" t="str">
        <f t="shared" si="17"/>
        <v/>
      </c>
      <c r="T42" s="23" t="str">
        <f t="shared" si="18"/>
        <v/>
      </c>
      <c r="U42" s="10"/>
    </row>
    <row r="43" spans="3:21" x14ac:dyDescent="0.25">
      <c r="C43" s="8"/>
      <c r="D43" s="8"/>
      <c r="E43" s="8"/>
      <c r="F43" s="8"/>
      <c r="G43" s="25" t="str">
        <f t="shared" si="10"/>
        <v/>
      </c>
      <c r="H43" s="8"/>
      <c r="I43" s="26" t="str">
        <f t="shared" si="11"/>
        <v/>
      </c>
      <c r="J43" s="8"/>
      <c r="K43" s="26" t="str">
        <f t="shared" si="12"/>
        <v/>
      </c>
      <c r="L43" s="8"/>
      <c r="M43" s="26" t="str">
        <f t="shared" si="13"/>
        <v/>
      </c>
      <c r="N43" s="8"/>
      <c r="O43" s="26" t="str">
        <f t="shared" si="14"/>
        <v/>
      </c>
      <c r="P43" s="23" t="str">
        <f t="shared" ref="P43:P74" si="19">IF(COUNT(F43:O43)=0,"",SUM(F43:O43))</f>
        <v/>
      </c>
      <c r="Q43" s="23" t="str">
        <f t="shared" si="15"/>
        <v/>
      </c>
      <c r="R43" s="23" t="str">
        <f t="shared" si="16"/>
        <v/>
      </c>
      <c r="S43" s="23" t="str">
        <f t="shared" si="17"/>
        <v/>
      </c>
      <c r="T43" s="23" t="str">
        <f t="shared" si="18"/>
        <v/>
      </c>
      <c r="U43" s="10"/>
    </row>
    <row r="44" spans="3:21" x14ac:dyDescent="0.25">
      <c r="C44" s="8"/>
      <c r="D44" s="8"/>
      <c r="E44" s="8"/>
      <c r="F44" s="8"/>
      <c r="G44" s="25" t="str">
        <f t="shared" si="10"/>
        <v/>
      </c>
      <c r="H44" s="8"/>
      <c r="I44" s="26" t="str">
        <f t="shared" si="11"/>
        <v/>
      </c>
      <c r="J44" s="8"/>
      <c r="K44" s="26" t="str">
        <f t="shared" si="12"/>
        <v/>
      </c>
      <c r="L44" s="8"/>
      <c r="M44" s="26" t="str">
        <f t="shared" si="13"/>
        <v/>
      </c>
      <c r="N44" s="8"/>
      <c r="O44" s="26" t="str">
        <f t="shared" si="14"/>
        <v/>
      </c>
      <c r="P44" s="23" t="str">
        <f t="shared" si="19"/>
        <v/>
      </c>
      <c r="Q44" s="23" t="str">
        <f t="shared" si="15"/>
        <v/>
      </c>
      <c r="R44" s="23" t="str">
        <f t="shared" si="16"/>
        <v/>
      </c>
      <c r="S44" s="23" t="str">
        <f t="shared" si="17"/>
        <v/>
      </c>
      <c r="T44" s="23" t="str">
        <f t="shared" si="18"/>
        <v/>
      </c>
      <c r="U44" s="10"/>
    </row>
    <row r="45" spans="3:21" x14ac:dyDescent="0.25">
      <c r="C45" s="8"/>
      <c r="D45" s="8"/>
      <c r="E45" s="8"/>
      <c r="F45" s="8"/>
      <c r="G45" s="25" t="str">
        <f t="shared" si="10"/>
        <v/>
      </c>
      <c r="H45" s="8"/>
      <c r="I45" s="26" t="str">
        <f t="shared" si="11"/>
        <v/>
      </c>
      <c r="J45" s="8"/>
      <c r="K45" s="26" t="str">
        <f t="shared" si="12"/>
        <v/>
      </c>
      <c r="L45" s="8"/>
      <c r="M45" s="26" t="str">
        <f t="shared" si="13"/>
        <v/>
      </c>
      <c r="N45" s="8"/>
      <c r="O45" s="26" t="str">
        <f t="shared" si="14"/>
        <v/>
      </c>
      <c r="P45" s="23" t="str">
        <f t="shared" si="19"/>
        <v/>
      </c>
      <c r="Q45" s="23" t="str">
        <f t="shared" si="15"/>
        <v/>
      </c>
      <c r="R45" s="23" t="str">
        <f t="shared" si="16"/>
        <v/>
      </c>
      <c r="S45" s="23" t="str">
        <f t="shared" si="17"/>
        <v/>
      </c>
      <c r="T45" s="23" t="str">
        <f t="shared" si="18"/>
        <v/>
      </c>
      <c r="U45" s="10"/>
    </row>
    <row r="46" spans="3:21" x14ac:dyDescent="0.25">
      <c r="C46" s="8"/>
      <c r="D46" s="8"/>
      <c r="E46" s="8"/>
      <c r="F46" s="8"/>
      <c r="G46" s="25" t="str">
        <f t="shared" si="10"/>
        <v/>
      </c>
      <c r="H46" s="8"/>
      <c r="I46" s="26" t="str">
        <f t="shared" si="11"/>
        <v/>
      </c>
      <c r="J46" s="8"/>
      <c r="K46" s="26" t="str">
        <f t="shared" si="12"/>
        <v/>
      </c>
      <c r="L46" s="8"/>
      <c r="M46" s="26" t="str">
        <f t="shared" si="13"/>
        <v/>
      </c>
      <c r="N46" s="8"/>
      <c r="O46" s="26" t="str">
        <f t="shared" si="14"/>
        <v/>
      </c>
      <c r="P46" s="23" t="str">
        <f t="shared" si="19"/>
        <v/>
      </c>
      <c r="Q46" s="23" t="str">
        <f t="shared" si="15"/>
        <v/>
      </c>
      <c r="R46" s="23" t="str">
        <f t="shared" si="16"/>
        <v/>
      </c>
      <c r="S46" s="23" t="str">
        <f t="shared" si="17"/>
        <v/>
      </c>
      <c r="T46" s="23" t="str">
        <f t="shared" si="18"/>
        <v/>
      </c>
      <c r="U46" s="10"/>
    </row>
    <row r="47" spans="3:21" x14ac:dyDescent="0.25">
      <c r="C47" s="8"/>
      <c r="D47" s="8"/>
      <c r="E47" s="8"/>
      <c r="F47" s="8"/>
      <c r="G47" s="25" t="str">
        <f t="shared" si="10"/>
        <v/>
      </c>
      <c r="H47" s="8"/>
      <c r="I47" s="26" t="str">
        <f t="shared" si="11"/>
        <v/>
      </c>
      <c r="J47" s="8"/>
      <c r="K47" s="26" t="str">
        <f t="shared" si="12"/>
        <v/>
      </c>
      <c r="L47" s="8"/>
      <c r="M47" s="26" t="str">
        <f t="shared" si="13"/>
        <v/>
      </c>
      <c r="N47" s="8"/>
      <c r="O47" s="26" t="str">
        <f t="shared" si="14"/>
        <v/>
      </c>
      <c r="P47" s="23" t="str">
        <f t="shared" si="19"/>
        <v/>
      </c>
      <c r="Q47" s="23" t="str">
        <f t="shared" si="15"/>
        <v/>
      </c>
      <c r="R47" s="23" t="str">
        <f t="shared" si="16"/>
        <v/>
      </c>
      <c r="S47" s="23" t="str">
        <f t="shared" si="17"/>
        <v/>
      </c>
      <c r="T47" s="23" t="str">
        <f t="shared" si="18"/>
        <v/>
      </c>
      <c r="U47" s="10"/>
    </row>
    <row r="48" spans="3:21" x14ac:dyDescent="0.25">
      <c r="C48" s="8"/>
      <c r="D48" s="8"/>
      <c r="E48" s="8"/>
      <c r="F48" s="8"/>
      <c r="G48" s="25" t="str">
        <f t="shared" si="10"/>
        <v/>
      </c>
      <c r="H48" s="8"/>
      <c r="I48" s="26" t="str">
        <f t="shared" si="11"/>
        <v/>
      </c>
      <c r="J48" s="8"/>
      <c r="K48" s="26" t="str">
        <f t="shared" si="12"/>
        <v/>
      </c>
      <c r="L48" s="8"/>
      <c r="M48" s="26" t="str">
        <f t="shared" si="13"/>
        <v/>
      </c>
      <c r="N48" s="8"/>
      <c r="O48" s="26" t="str">
        <f t="shared" si="14"/>
        <v/>
      </c>
      <c r="P48" s="23" t="str">
        <f t="shared" si="19"/>
        <v/>
      </c>
      <c r="Q48" s="23" t="str">
        <f t="shared" si="15"/>
        <v/>
      </c>
      <c r="R48" s="23" t="str">
        <f t="shared" si="16"/>
        <v/>
      </c>
      <c r="S48" s="23" t="str">
        <f t="shared" si="17"/>
        <v/>
      </c>
      <c r="T48" s="23" t="str">
        <f t="shared" si="18"/>
        <v/>
      </c>
      <c r="U48" s="10"/>
    </row>
    <row r="49" spans="3:21" x14ac:dyDescent="0.25">
      <c r="C49" s="8"/>
      <c r="D49" s="8"/>
      <c r="E49" s="8"/>
      <c r="F49" s="8"/>
      <c r="G49" s="25" t="str">
        <f t="shared" si="10"/>
        <v/>
      </c>
      <c r="H49" s="8"/>
      <c r="I49" s="26" t="str">
        <f t="shared" si="11"/>
        <v/>
      </c>
      <c r="J49" s="8"/>
      <c r="K49" s="26" t="str">
        <f t="shared" si="12"/>
        <v/>
      </c>
      <c r="L49" s="8"/>
      <c r="M49" s="26" t="str">
        <f t="shared" si="13"/>
        <v/>
      </c>
      <c r="N49" s="8"/>
      <c r="O49" s="26" t="str">
        <f t="shared" si="14"/>
        <v/>
      </c>
      <c r="P49" s="23" t="str">
        <f t="shared" si="19"/>
        <v/>
      </c>
      <c r="Q49" s="23" t="str">
        <f t="shared" si="15"/>
        <v/>
      </c>
      <c r="R49" s="23" t="str">
        <f t="shared" si="16"/>
        <v/>
      </c>
      <c r="S49" s="23" t="str">
        <f t="shared" si="17"/>
        <v/>
      </c>
      <c r="T49" s="23" t="str">
        <f t="shared" si="18"/>
        <v/>
      </c>
      <c r="U49" s="10"/>
    </row>
    <row r="50" spans="3:21" x14ac:dyDescent="0.25">
      <c r="C50" s="8"/>
      <c r="D50" s="8"/>
      <c r="E50" s="8"/>
      <c r="F50" s="8"/>
      <c r="G50" s="25" t="str">
        <f t="shared" si="10"/>
        <v/>
      </c>
      <c r="H50" s="8"/>
      <c r="I50" s="26" t="str">
        <f t="shared" si="11"/>
        <v/>
      </c>
      <c r="J50" s="8"/>
      <c r="K50" s="26" t="str">
        <f t="shared" si="12"/>
        <v/>
      </c>
      <c r="L50" s="8"/>
      <c r="M50" s="26" t="str">
        <f t="shared" si="13"/>
        <v/>
      </c>
      <c r="N50" s="8"/>
      <c r="O50" s="26" t="str">
        <f t="shared" si="14"/>
        <v/>
      </c>
      <c r="P50" s="23" t="str">
        <f t="shared" si="19"/>
        <v/>
      </c>
      <c r="Q50" s="23" t="str">
        <f t="shared" si="15"/>
        <v/>
      </c>
      <c r="R50" s="23" t="str">
        <f t="shared" si="16"/>
        <v/>
      </c>
      <c r="S50" s="23" t="str">
        <f t="shared" si="17"/>
        <v/>
      </c>
      <c r="T50" s="23" t="str">
        <f t="shared" si="18"/>
        <v/>
      </c>
      <c r="U50" s="10"/>
    </row>
    <row r="51" spans="3:21" x14ac:dyDescent="0.25">
      <c r="C51" s="8"/>
      <c r="D51" s="8"/>
      <c r="E51" s="8"/>
      <c r="F51" s="8"/>
      <c r="G51" s="25" t="str">
        <f t="shared" si="10"/>
        <v/>
      </c>
      <c r="H51" s="8"/>
      <c r="I51" s="26" t="str">
        <f t="shared" si="11"/>
        <v/>
      </c>
      <c r="J51" s="8"/>
      <c r="K51" s="26" t="str">
        <f t="shared" si="12"/>
        <v/>
      </c>
      <c r="L51" s="8"/>
      <c r="M51" s="26" t="str">
        <f t="shared" si="13"/>
        <v/>
      </c>
      <c r="N51" s="8"/>
      <c r="O51" s="26" t="str">
        <f t="shared" si="14"/>
        <v/>
      </c>
      <c r="P51" s="23" t="str">
        <f t="shared" si="19"/>
        <v/>
      </c>
      <c r="Q51" s="23" t="str">
        <f t="shared" si="15"/>
        <v/>
      </c>
      <c r="R51" s="23" t="str">
        <f t="shared" si="16"/>
        <v/>
      </c>
      <c r="S51" s="23" t="str">
        <f t="shared" si="17"/>
        <v/>
      </c>
      <c r="T51" s="23" t="str">
        <f t="shared" si="18"/>
        <v/>
      </c>
      <c r="U51" s="10"/>
    </row>
    <row r="52" spans="3:21" x14ac:dyDescent="0.25">
      <c r="C52" s="8"/>
      <c r="D52" s="8"/>
      <c r="E52" s="8"/>
      <c r="F52" s="8"/>
      <c r="G52" s="25" t="str">
        <f t="shared" si="10"/>
        <v/>
      </c>
      <c r="H52" s="8"/>
      <c r="I52" s="26" t="str">
        <f t="shared" si="11"/>
        <v/>
      </c>
      <c r="J52" s="8"/>
      <c r="K52" s="26" t="str">
        <f t="shared" si="12"/>
        <v/>
      </c>
      <c r="L52" s="8"/>
      <c r="M52" s="26" t="str">
        <f t="shared" si="13"/>
        <v/>
      </c>
      <c r="N52" s="8"/>
      <c r="O52" s="26" t="str">
        <f t="shared" si="14"/>
        <v/>
      </c>
      <c r="P52" s="23" t="str">
        <f t="shared" si="19"/>
        <v/>
      </c>
      <c r="Q52" s="23" t="str">
        <f t="shared" si="15"/>
        <v/>
      </c>
      <c r="R52" s="23" t="str">
        <f t="shared" si="16"/>
        <v/>
      </c>
      <c r="S52" s="23" t="str">
        <f t="shared" si="17"/>
        <v/>
      </c>
      <c r="T52" s="23" t="str">
        <f t="shared" si="18"/>
        <v/>
      </c>
      <c r="U52" s="10"/>
    </row>
    <row r="53" spans="3:21" x14ac:dyDescent="0.25">
      <c r="C53" s="8"/>
      <c r="D53" s="8"/>
      <c r="E53" s="8"/>
      <c r="F53" s="8"/>
      <c r="G53" s="25" t="str">
        <f t="shared" si="10"/>
        <v/>
      </c>
      <c r="H53" s="8"/>
      <c r="I53" s="26" t="str">
        <f t="shared" si="11"/>
        <v/>
      </c>
      <c r="J53" s="8"/>
      <c r="K53" s="26" t="str">
        <f t="shared" si="12"/>
        <v/>
      </c>
      <c r="L53" s="8"/>
      <c r="M53" s="26" t="str">
        <f t="shared" si="13"/>
        <v/>
      </c>
      <c r="N53" s="8"/>
      <c r="O53" s="26" t="str">
        <f t="shared" si="14"/>
        <v/>
      </c>
      <c r="P53" s="23" t="str">
        <f t="shared" si="19"/>
        <v/>
      </c>
      <c r="Q53" s="23" t="str">
        <f t="shared" si="15"/>
        <v/>
      </c>
      <c r="R53" s="23" t="str">
        <f t="shared" si="16"/>
        <v/>
      </c>
      <c r="S53" s="23" t="str">
        <f t="shared" si="17"/>
        <v/>
      </c>
      <c r="T53" s="23" t="str">
        <f t="shared" si="18"/>
        <v/>
      </c>
      <c r="U53" s="10"/>
    </row>
    <row r="54" spans="3:21" x14ac:dyDescent="0.25">
      <c r="C54" s="8"/>
      <c r="D54" s="8"/>
      <c r="E54" s="8"/>
      <c r="F54" s="8"/>
      <c r="G54" s="25" t="str">
        <f t="shared" si="10"/>
        <v/>
      </c>
      <c r="H54" s="8"/>
      <c r="I54" s="26" t="str">
        <f t="shared" si="11"/>
        <v/>
      </c>
      <c r="J54" s="8"/>
      <c r="K54" s="26" t="str">
        <f t="shared" si="12"/>
        <v/>
      </c>
      <c r="L54" s="8"/>
      <c r="M54" s="26" t="str">
        <f t="shared" si="13"/>
        <v/>
      </c>
      <c r="N54" s="8"/>
      <c r="O54" s="26" t="str">
        <f t="shared" si="14"/>
        <v/>
      </c>
      <c r="P54" s="23" t="str">
        <f t="shared" si="19"/>
        <v/>
      </c>
      <c r="Q54" s="23" t="str">
        <f t="shared" si="15"/>
        <v/>
      </c>
      <c r="R54" s="23" t="str">
        <f t="shared" si="16"/>
        <v/>
      </c>
      <c r="S54" s="23" t="str">
        <f t="shared" si="17"/>
        <v/>
      </c>
      <c r="T54" s="23" t="str">
        <f t="shared" si="18"/>
        <v/>
      </c>
      <c r="U54" s="10"/>
    </row>
    <row r="55" spans="3:21" x14ac:dyDescent="0.25">
      <c r="C55" s="8"/>
      <c r="D55" s="8"/>
      <c r="E55" s="8"/>
      <c r="F55" s="8"/>
      <c r="G55" s="25" t="str">
        <f t="shared" si="10"/>
        <v/>
      </c>
      <c r="H55" s="8"/>
      <c r="I55" s="26" t="str">
        <f t="shared" si="11"/>
        <v/>
      </c>
      <c r="J55" s="8"/>
      <c r="K55" s="26" t="str">
        <f t="shared" si="12"/>
        <v/>
      </c>
      <c r="L55" s="8"/>
      <c r="M55" s="26" t="str">
        <f t="shared" si="13"/>
        <v/>
      </c>
      <c r="N55" s="8"/>
      <c r="O55" s="26" t="str">
        <f t="shared" si="14"/>
        <v/>
      </c>
      <c r="P55" s="23" t="str">
        <f t="shared" si="19"/>
        <v/>
      </c>
      <c r="Q55" s="23" t="str">
        <f t="shared" si="15"/>
        <v/>
      </c>
      <c r="R55" s="23" t="str">
        <f t="shared" si="16"/>
        <v/>
      </c>
      <c r="S55" s="23" t="str">
        <f t="shared" si="17"/>
        <v/>
      </c>
      <c r="T55" s="23" t="str">
        <f t="shared" si="18"/>
        <v/>
      </c>
      <c r="U55" s="10"/>
    </row>
    <row r="56" spans="3:21" x14ac:dyDescent="0.25">
      <c r="C56" s="8"/>
      <c r="D56" s="8"/>
      <c r="E56" s="8"/>
      <c r="F56" s="8"/>
      <c r="G56" s="25" t="str">
        <f t="shared" si="10"/>
        <v/>
      </c>
      <c r="H56" s="8"/>
      <c r="I56" s="26" t="str">
        <f t="shared" si="11"/>
        <v/>
      </c>
      <c r="J56" s="8"/>
      <c r="K56" s="26" t="str">
        <f t="shared" si="12"/>
        <v/>
      </c>
      <c r="L56" s="8"/>
      <c r="M56" s="26" t="str">
        <f t="shared" si="13"/>
        <v/>
      </c>
      <c r="N56" s="8"/>
      <c r="O56" s="26" t="str">
        <f t="shared" si="14"/>
        <v/>
      </c>
      <c r="P56" s="23" t="str">
        <f t="shared" si="19"/>
        <v/>
      </c>
      <c r="Q56" s="23" t="str">
        <f t="shared" si="15"/>
        <v/>
      </c>
      <c r="R56" s="23" t="str">
        <f t="shared" si="16"/>
        <v/>
      </c>
      <c r="S56" s="23" t="str">
        <f t="shared" si="17"/>
        <v/>
      </c>
      <c r="T56" s="23" t="str">
        <f t="shared" si="18"/>
        <v/>
      </c>
      <c r="U56" s="10"/>
    </row>
    <row r="57" spans="3:21" x14ac:dyDescent="0.25">
      <c r="C57" s="8"/>
      <c r="D57" s="8"/>
      <c r="E57" s="8"/>
      <c r="F57" s="8"/>
      <c r="G57" s="25" t="str">
        <f t="shared" si="10"/>
        <v/>
      </c>
      <c r="H57" s="8"/>
      <c r="I57" s="26" t="str">
        <f t="shared" si="11"/>
        <v/>
      </c>
      <c r="J57" s="8"/>
      <c r="K57" s="26" t="str">
        <f t="shared" si="12"/>
        <v/>
      </c>
      <c r="L57" s="8"/>
      <c r="M57" s="26" t="str">
        <f t="shared" si="13"/>
        <v/>
      </c>
      <c r="N57" s="8"/>
      <c r="O57" s="26" t="str">
        <f t="shared" si="14"/>
        <v/>
      </c>
      <c r="P57" s="23" t="str">
        <f t="shared" si="19"/>
        <v/>
      </c>
      <c r="Q57" s="23" t="str">
        <f t="shared" si="15"/>
        <v/>
      </c>
      <c r="R57" s="23" t="str">
        <f t="shared" si="16"/>
        <v/>
      </c>
      <c r="S57" s="23" t="str">
        <f t="shared" si="17"/>
        <v/>
      </c>
      <c r="T57" s="23" t="str">
        <f t="shared" si="18"/>
        <v/>
      </c>
      <c r="U57" s="10"/>
    </row>
    <row r="58" spans="3:21" x14ac:dyDescent="0.25">
      <c r="C58" s="8"/>
      <c r="D58" s="8"/>
      <c r="E58" s="8"/>
      <c r="F58" s="8"/>
      <c r="G58" s="25" t="str">
        <f t="shared" si="10"/>
        <v/>
      </c>
      <c r="H58" s="8"/>
      <c r="I58" s="26" t="str">
        <f t="shared" si="11"/>
        <v/>
      </c>
      <c r="J58" s="8"/>
      <c r="K58" s="26" t="str">
        <f t="shared" si="12"/>
        <v/>
      </c>
      <c r="L58" s="8"/>
      <c r="M58" s="26" t="str">
        <f t="shared" si="13"/>
        <v/>
      </c>
      <c r="N58" s="8"/>
      <c r="O58" s="26" t="str">
        <f t="shared" si="14"/>
        <v/>
      </c>
      <c r="P58" s="23" t="str">
        <f t="shared" si="19"/>
        <v/>
      </c>
      <c r="Q58" s="23" t="str">
        <f t="shared" si="15"/>
        <v/>
      </c>
      <c r="R58" s="23" t="str">
        <f t="shared" si="16"/>
        <v/>
      </c>
      <c r="S58" s="23" t="str">
        <f t="shared" si="17"/>
        <v/>
      </c>
      <c r="T58" s="23" t="str">
        <f t="shared" si="18"/>
        <v/>
      </c>
      <c r="U58" s="10"/>
    </row>
    <row r="59" spans="3:21" x14ac:dyDescent="0.25">
      <c r="C59" s="8"/>
      <c r="D59" s="8"/>
      <c r="E59" s="8"/>
      <c r="F59" s="8"/>
      <c r="G59" s="25" t="str">
        <f t="shared" si="10"/>
        <v/>
      </c>
      <c r="H59" s="8"/>
      <c r="I59" s="26" t="str">
        <f t="shared" si="11"/>
        <v/>
      </c>
      <c r="J59" s="8"/>
      <c r="K59" s="26" t="str">
        <f t="shared" si="12"/>
        <v/>
      </c>
      <c r="L59" s="8"/>
      <c r="M59" s="26" t="str">
        <f t="shared" si="13"/>
        <v/>
      </c>
      <c r="N59" s="8"/>
      <c r="O59" s="26" t="str">
        <f t="shared" si="14"/>
        <v/>
      </c>
      <c r="P59" s="23" t="str">
        <f t="shared" si="19"/>
        <v/>
      </c>
      <c r="Q59" s="23" t="str">
        <f t="shared" si="15"/>
        <v/>
      </c>
      <c r="R59" s="23" t="str">
        <f t="shared" si="16"/>
        <v/>
      </c>
      <c r="S59" s="23" t="str">
        <f t="shared" si="17"/>
        <v/>
      </c>
      <c r="T59" s="23" t="str">
        <f t="shared" si="18"/>
        <v/>
      </c>
      <c r="U59" s="10"/>
    </row>
    <row r="60" spans="3:21" x14ac:dyDescent="0.25">
      <c r="C60" s="8"/>
      <c r="D60" s="8"/>
      <c r="E60" s="8"/>
      <c r="F60" s="8"/>
      <c r="G60" s="25" t="str">
        <f t="shared" si="10"/>
        <v/>
      </c>
      <c r="H60" s="8"/>
      <c r="I60" s="26" t="str">
        <f t="shared" si="11"/>
        <v/>
      </c>
      <c r="J60" s="8"/>
      <c r="K60" s="26" t="str">
        <f t="shared" si="12"/>
        <v/>
      </c>
      <c r="L60" s="8"/>
      <c r="M60" s="26" t="str">
        <f t="shared" si="13"/>
        <v/>
      </c>
      <c r="N60" s="8"/>
      <c r="O60" s="26" t="str">
        <f t="shared" si="14"/>
        <v/>
      </c>
      <c r="P60" s="23" t="str">
        <f t="shared" si="19"/>
        <v/>
      </c>
      <c r="Q60" s="23" t="str">
        <f t="shared" si="15"/>
        <v/>
      </c>
      <c r="R60" s="23" t="str">
        <f t="shared" si="16"/>
        <v/>
      </c>
      <c r="S60" s="23" t="str">
        <f t="shared" si="17"/>
        <v/>
      </c>
      <c r="T60" s="23" t="str">
        <f t="shared" si="18"/>
        <v/>
      </c>
      <c r="U60" s="10"/>
    </row>
    <row r="61" spans="3:21" x14ac:dyDescent="0.25">
      <c r="C61" s="8"/>
      <c r="D61" s="8"/>
      <c r="E61" s="8"/>
      <c r="F61" s="8"/>
      <c r="G61" s="25" t="str">
        <f t="shared" si="10"/>
        <v/>
      </c>
      <c r="H61" s="8"/>
      <c r="I61" s="26" t="str">
        <f t="shared" si="11"/>
        <v/>
      </c>
      <c r="J61" s="8"/>
      <c r="K61" s="26" t="str">
        <f t="shared" si="12"/>
        <v/>
      </c>
      <c r="L61" s="8"/>
      <c r="M61" s="26" t="str">
        <f t="shared" si="13"/>
        <v/>
      </c>
      <c r="N61" s="8"/>
      <c r="O61" s="26" t="str">
        <f t="shared" si="14"/>
        <v/>
      </c>
      <c r="P61" s="23" t="str">
        <f t="shared" si="19"/>
        <v/>
      </c>
      <c r="Q61" s="23" t="str">
        <f t="shared" si="15"/>
        <v/>
      </c>
      <c r="R61" s="23" t="str">
        <f t="shared" si="16"/>
        <v/>
      </c>
      <c r="S61" s="23" t="str">
        <f t="shared" si="17"/>
        <v/>
      </c>
      <c r="T61" s="23" t="str">
        <f t="shared" si="18"/>
        <v/>
      </c>
      <c r="U61" s="10"/>
    </row>
    <row r="62" spans="3:21" x14ac:dyDescent="0.25">
      <c r="C62" s="8"/>
      <c r="D62" s="8"/>
      <c r="E62" s="8"/>
      <c r="F62" s="8"/>
      <c r="G62" s="25" t="str">
        <f t="shared" si="10"/>
        <v/>
      </c>
      <c r="H62" s="8"/>
      <c r="I62" s="26" t="str">
        <f t="shared" si="11"/>
        <v/>
      </c>
      <c r="J62" s="8"/>
      <c r="K62" s="26" t="str">
        <f t="shared" si="12"/>
        <v/>
      </c>
      <c r="L62" s="8"/>
      <c r="M62" s="26" t="str">
        <f t="shared" si="13"/>
        <v/>
      </c>
      <c r="N62" s="8"/>
      <c r="O62" s="26" t="str">
        <f t="shared" si="14"/>
        <v/>
      </c>
      <c r="P62" s="23" t="str">
        <f t="shared" si="19"/>
        <v/>
      </c>
      <c r="Q62" s="23" t="str">
        <f t="shared" si="15"/>
        <v/>
      </c>
      <c r="R62" s="23" t="str">
        <f t="shared" si="16"/>
        <v/>
      </c>
      <c r="S62" s="23" t="str">
        <f t="shared" si="17"/>
        <v/>
      </c>
      <c r="T62" s="23" t="str">
        <f t="shared" si="18"/>
        <v/>
      </c>
      <c r="U62" s="10"/>
    </row>
    <row r="63" spans="3:21" x14ac:dyDescent="0.25">
      <c r="C63" s="8"/>
      <c r="D63" s="8"/>
      <c r="E63" s="8"/>
      <c r="F63" s="8"/>
      <c r="G63" s="25" t="str">
        <f t="shared" si="10"/>
        <v/>
      </c>
      <c r="H63" s="8"/>
      <c r="I63" s="26" t="str">
        <f t="shared" si="11"/>
        <v/>
      </c>
      <c r="J63" s="8"/>
      <c r="K63" s="26" t="str">
        <f t="shared" si="12"/>
        <v/>
      </c>
      <c r="L63" s="8"/>
      <c r="M63" s="26" t="str">
        <f t="shared" si="13"/>
        <v/>
      </c>
      <c r="N63" s="8"/>
      <c r="O63" s="26" t="str">
        <f t="shared" si="14"/>
        <v/>
      </c>
      <c r="P63" s="23" t="str">
        <f t="shared" si="19"/>
        <v/>
      </c>
      <c r="Q63" s="23" t="str">
        <f t="shared" si="15"/>
        <v/>
      </c>
      <c r="R63" s="23" t="str">
        <f t="shared" si="16"/>
        <v/>
      </c>
      <c r="S63" s="23" t="str">
        <f t="shared" si="17"/>
        <v/>
      </c>
      <c r="T63" s="23" t="str">
        <f t="shared" si="18"/>
        <v/>
      </c>
      <c r="U63" s="10"/>
    </row>
    <row r="64" spans="3:21" x14ac:dyDescent="0.25">
      <c r="C64" s="8"/>
      <c r="D64" s="8"/>
      <c r="E64" s="8"/>
      <c r="F64" s="8"/>
      <c r="G64" s="25" t="str">
        <f t="shared" si="10"/>
        <v/>
      </c>
      <c r="H64" s="8"/>
      <c r="I64" s="26" t="str">
        <f t="shared" si="11"/>
        <v/>
      </c>
      <c r="J64" s="8"/>
      <c r="K64" s="26" t="str">
        <f t="shared" si="12"/>
        <v/>
      </c>
      <c r="L64" s="8"/>
      <c r="M64" s="26" t="str">
        <f t="shared" si="13"/>
        <v/>
      </c>
      <c r="N64" s="8"/>
      <c r="O64" s="26" t="str">
        <f t="shared" si="14"/>
        <v/>
      </c>
      <c r="P64" s="23" t="str">
        <f t="shared" si="19"/>
        <v/>
      </c>
      <c r="Q64" s="23" t="str">
        <f t="shared" si="15"/>
        <v/>
      </c>
      <c r="R64" s="23" t="str">
        <f t="shared" si="16"/>
        <v/>
      </c>
      <c r="S64" s="23" t="str">
        <f t="shared" si="17"/>
        <v/>
      </c>
      <c r="T64" s="23" t="str">
        <f t="shared" si="18"/>
        <v/>
      </c>
      <c r="U64" s="10"/>
    </row>
    <row r="65" spans="3:21" x14ac:dyDescent="0.25">
      <c r="C65" s="8"/>
      <c r="D65" s="8"/>
      <c r="E65" s="8"/>
      <c r="F65" s="8"/>
      <c r="G65" s="25" t="str">
        <f t="shared" si="10"/>
        <v/>
      </c>
      <c r="H65" s="8"/>
      <c r="I65" s="26" t="str">
        <f t="shared" si="11"/>
        <v/>
      </c>
      <c r="J65" s="8"/>
      <c r="K65" s="26" t="str">
        <f t="shared" si="12"/>
        <v/>
      </c>
      <c r="L65" s="8"/>
      <c r="M65" s="26" t="str">
        <f t="shared" si="13"/>
        <v/>
      </c>
      <c r="N65" s="8"/>
      <c r="O65" s="26" t="str">
        <f t="shared" si="14"/>
        <v/>
      </c>
      <c r="P65" s="23" t="str">
        <f t="shared" si="19"/>
        <v/>
      </c>
      <c r="Q65" s="23" t="str">
        <f t="shared" si="15"/>
        <v/>
      </c>
      <c r="R65" s="23" t="str">
        <f t="shared" si="16"/>
        <v/>
      </c>
      <c r="S65" s="23" t="str">
        <f t="shared" si="17"/>
        <v/>
      </c>
      <c r="T65" s="23" t="str">
        <f t="shared" si="18"/>
        <v/>
      </c>
      <c r="U65" s="10"/>
    </row>
    <row r="66" spans="3:21" x14ac:dyDescent="0.25">
      <c r="C66" s="8"/>
      <c r="D66" s="8"/>
      <c r="E66" s="8"/>
      <c r="F66" s="8"/>
      <c r="G66" s="25" t="str">
        <f t="shared" si="10"/>
        <v/>
      </c>
      <c r="H66" s="8"/>
      <c r="I66" s="26" t="str">
        <f t="shared" si="11"/>
        <v/>
      </c>
      <c r="J66" s="8"/>
      <c r="K66" s="26" t="str">
        <f t="shared" si="12"/>
        <v/>
      </c>
      <c r="L66" s="8"/>
      <c r="M66" s="26" t="str">
        <f t="shared" si="13"/>
        <v/>
      </c>
      <c r="N66" s="8"/>
      <c r="O66" s="26" t="str">
        <f t="shared" si="14"/>
        <v/>
      </c>
      <c r="P66" s="23" t="str">
        <f t="shared" si="19"/>
        <v/>
      </c>
      <c r="Q66" s="23" t="str">
        <f t="shared" si="15"/>
        <v/>
      </c>
      <c r="R66" s="23" t="str">
        <f t="shared" si="16"/>
        <v/>
      </c>
      <c r="S66" s="23" t="str">
        <f t="shared" si="17"/>
        <v/>
      </c>
      <c r="T66" s="23" t="str">
        <f t="shared" si="18"/>
        <v/>
      </c>
      <c r="U66" s="10"/>
    </row>
    <row r="67" spans="3:21" x14ac:dyDescent="0.25">
      <c r="C67" s="8"/>
      <c r="D67" s="8"/>
      <c r="E67" s="8"/>
      <c r="F67" s="8"/>
      <c r="G67" s="25" t="str">
        <f t="shared" si="10"/>
        <v/>
      </c>
      <c r="H67" s="8"/>
      <c r="I67" s="26" t="str">
        <f t="shared" si="11"/>
        <v/>
      </c>
      <c r="J67" s="8"/>
      <c r="K67" s="26" t="str">
        <f t="shared" si="12"/>
        <v/>
      </c>
      <c r="L67" s="8"/>
      <c r="M67" s="26" t="str">
        <f t="shared" si="13"/>
        <v/>
      </c>
      <c r="N67" s="8"/>
      <c r="O67" s="26" t="str">
        <f t="shared" si="14"/>
        <v/>
      </c>
      <c r="P67" s="23" t="str">
        <f t="shared" si="19"/>
        <v/>
      </c>
      <c r="Q67" s="23" t="str">
        <f t="shared" si="15"/>
        <v/>
      </c>
      <c r="R67" s="23" t="str">
        <f t="shared" si="16"/>
        <v/>
      </c>
      <c r="S67" s="23" t="str">
        <f t="shared" si="17"/>
        <v/>
      </c>
      <c r="T67" s="23" t="str">
        <f t="shared" si="18"/>
        <v/>
      </c>
      <c r="U67" s="10"/>
    </row>
    <row r="68" spans="3:21" x14ac:dyDescent="0.25">
      <c r="C68" s="8"/>
      <c r="D68" s="8"/>
      <c r="E68" s="8"/>
      <c r="F68" s="8"/>
      <c r="G68" s="25" t="str">
        <f t="shared" si="10"/>
        <v/>
      </c>
      <c r="H68" s="8"/>
      <c r="I68" s="26" t="str">
        <f t="shared" si="11"/>
        <v/>
      </c>
      <c r="J68" s="8"/>
      <c r="K68" s="26" t="str">
        <f t="shared" si="12"/>
        <v/>
      </c>
      <c r="L68" s="8"/>
      <c r="M68" s="26" t="str">
        <f t="shared" si="13"/>
        <v/>
      </c>
      <c r="N68" s="8"/>
      <c r="O68" s="26" t="str">
        <f t="shared" si="14"/>
        <v/>
      </c>
      <c r="P68" s="23" t="str">
        <f t="shared" si="19"/>
        <v/>
      </c>
      <c r="Q68" s="23" t="str">
        <f t="shared" si="15"/>
        <v/>
      </c>
      <c r="R68" s="23" t="str">
        <f t="shared" si="16"/>
        <v/>
      </c>
      <c r="S68" s="23" t="str">
        <f t="shared" si="17"/>
        <v/>
      </c>
      <c r="T68" s="23" t="str">
        <f t="shared" si="18"/>
        <v/>
      </c>
      <c r="U68" s="10"/>
    </row>
    <row r="69" spans="3:21" x14ac:dyDescent="0.25">
      <c r="C69" s="8"/>
      <c r="D69" s="8"/>
      <c r="E69" s="8"/>
      <c r="F69" s="8"/>
      <c r="G69" s="25" t="str">
        <f t="shared" ref="G69:G100" si="20">IF(F69="","",VLOOKUP(F69,$Y$4:$Z$15,2,TRUE))</f>
        <v/>
      </c>
      <c r="H69" s="8"/>
      <c r="I69" s="26" t="str">
        <f t="shared" ref="I69:I100" si="21">IF(H69="","",VLOOKUP(H69,$Y$4:$Z$15,2,TRUE))</f>
        <v/>
      </c>
      <c r="J69" s="8"/>
      <c r="K69" s="26" t="str">
        <f t="shared" ref="K69:K100" si="22">IF(J69="","",VLOOKUP(J69,$Y$4:$Z$15,2,TRUE))</f>
        <v/>
      </c>
      <c r="L69" s="8"/>
      <c r="M69" s="26" t="str">
        <f t="shared" ref="M69:M100" si="23">IF(L69="","",VLOOKUP(L69,$Y$4:$Z$15,2,TRUE))</f>
        <v/>
      </c>
      <c r="N69" s="8"/>
      <c r="O69" s="26" t="str">
        <f t="shared" ref="O69:O100" si="24">IF(N69="","",VLOOKUP(N69,$Y$4:$Z$15,2,TRUE))</f>
        <v/>
      </c>
      <c r="P69" s="23" t="str">
        <f t="shared" si="19"/>
        <v/>
      </c>
      <c r="Q69" s="23" t="str">
        <f t="shared" ref="Q69:Q100" si="25">IF(P69="","",P69/500*12)</f>
        <v/>
      </c>
      <c r="R69" s="23" t="str">
        <f t="shared" ref="R69:R100" si="26">IF(Q69="","",VLOOKUP(Q69,$W$4:$X$15,2,TRUE))</f>
        <v/>
      </c>
      <c r="S69" s="23" t="str">
        <f t="shared" ref="S69:S100" si="27">IF(P69="","",RANK(P69,$P$5:$P$998,0))</f>
        <v/>
      </c>
      <c r="T69" s="23" t="str">
        <f t="shared" ref="T69:T100" si="28">IFERROR(VLOOKUP(R69,$AA$4:$AB$15,2,FALSE),"")</f>
        <v/>
      </c>
      <c r="U69" s="10"/>
    </row>
    <row r="70" spans="3:21" x14ac:dyDescent="0.25">
      <c r="C70" s="8"/>
      <c r="D70" s="8"/>
      <c r="E70" s="8"/>
      <c r="F70" s="8"/>
      <c r="G70" s="25" t="str">
        <f t="shared" si="20"/>
        <v/>
      </c>
      <c r="H70" s="8"/>
      <c r="I70" s="26" t="str">
        <f t="shared" si="21"/>
        <v/>
      </c>
      <c r="J70" s="8"/>
      <c r="K70" s="26" t="str">
        <f t="shared" si="22"/>
        <v/>
      </c>
      <c r="L70" s="8"/>
      <c r="M70" s="26" t="str">
        <f t="shared" si="23"/>
        <v/>
      </c>
      <c r="N70" s="8"/>
      <c r="O70" s="26" t="str">
        <f t="shared" si="24"/>
        <v/>
      </c>
      <c r="P70" s="23" t="str">
        <f t="shared" si="19"/>
        <v/>
      </c>
      <c r="Q70" s="23" t="str">
        <f t="shared" si="25"/>
        <v/>
      </c>
      <c r="R70" s="23" t="str">
        <f t="shared" si="26"/>
        <v/>
      </c>
      <c r="S70" s="23" t="str">
        <f t="shared" si="27"/>
        <v/>
      </c>
      <c r="T70" s="23" t="str">
        <f t="shared" si="28"/>
        <v/>
      </c>
      <c r="U70" s="10"/>
    </row>
    <row r="71" spans="3:21" x14ac:dyDescent="0.25">
      <c r="C71" s="8"/>
      <c r="D71" s="8"/>
      <c r="E71" s="8"/>
      <c r="F71" s="8"/>
      <c r="G71" s="25" t="str">
        <f t="shared" si="20"/>
        <v/>
      </c>
      <c r="H71" s="8"/>
      <c r="I71" s="26" t="str">
        <f t="shared" si="21"/>
        <v/>
      </c>
      <c r="J71" s="8"/>
      <c r="K71" s="26" t="str">
        <f t="shared" si="22"/>
        <v/>
      </c>
      <c r="L71" s="8"/>
      <c r="M71" s="26" t="str">
        <f t="shared" si="23"/>
        <v/>
      </c>
      <c r="N71" s="8"/>
      <c r="O71" s="26" t="str">
        <f t="shared" si="24"/>
        <v/>
      </c>
      <c r="P71" s="23" t="str">
        <f t="shared" si="19"/>
        <v/>
      </c>
      <c r="Q71" s="23" t="str">
        <f t="shared" si="25"/>
        <v/>
      </c>
      <c r="R71" s="23" t="str">
        <f t="shared" si="26"/>
        <v/>
      </c>
      <c r="S71" s="23" t="str">
        <f t="shared" si="27"/>
        <v/>
      </c>
      <c r="T71" s="23" t="str">
        <f t="shared" si="28"/>
        <v/>
      </c>
      <c r="U71" s="10"/>
    </row>
    <row r="72" spans="3:21" x14ac:dyDescent="0.25">
      <c r="C72" s="8"/>
      <c r="D72" s="8"/>
      <c r="E72" s="8"/>
      <c r="F72" s="8"/>
      <c r="G72" s="25" t="str">
        <f t="shared" si="20"/>
        <v/>
      </c>
      <c r="H72" s="8"/>
      <c r="I72" s="26" t="str">
        <f t="shared" si="21"/>
        <v/>
      </c>
      <c r="J72" s="8"/>
      <c r="K72" s="26" t="str">
        <f t="shared" si="22"/>
        <v/>
      </c>
      <c r="L72" s="8"/>
      <c r="M72" s="26" t="str">
        <f t="shared" si="23"/>
        <v/>
      </c>
      <c r="N72" s="8"/>
      <c r="O72" s="26" t="str">
        <f t="shared" si="24"/>
        <v/>
      </c>
      <c r="P72" s="23" t="str">
        <f t="shared" si="19"/>
        <v/>
      </c>
      <c r="Q72" s="23" t="str">
        <f t="shared" si="25"/>
        <v/>
      </c>
      <c r="R72" s="23" t="str">
        <f t="shared" si="26"/>
        <v/>
      </c>
      <c r="S72" s="23" t="str">
        <f t="shared" si="27"/>
        <v/>
      </c>
      <c r="T72" s="23" t="str">
        <f t="shared" si="28"/>
        <v/>
      </c>
      <c r="U72" s="10"/>
    </row>
    <row r="73" spans="3:21" x14ac:dyDescent="0.25">
      <c r="C73" s="8"/>
      <c r="D73" s="8"/>
      <c r="E73" s="8"/>
      <c r="F73" s="8"/>
      <c r="G73" s="25" t="str">
        <f t="shared" si="20"/>
        <v/>
      </c>
      <c r="H73" s="8"/>
      <c r="I73" s="26" t="str">
        <f t="shared" si="21"/>
        <v/>
      </c>
      <c r="J73" s="8"/>
      <c r="K73" s="26" t="str">
        <f t="shared" si="22"/>
        <v/>
      </c>
      <c r="L73" s="8"/>
      <c r="M73" s="26" t="str">
        <f t="shared" si="23"/>
        <v/>
      </c>
      <c r="N73" s="8"/>
      <c r="O73" s="26" t="str">
        <f t="shared" si="24"/>
        <v/>
      </c>
      <c r="P73" s="23" t="str">
        <f t="shared" si="19"/>
        <v/>
      </c>
      <c r="Q73" s="23" t="str">
        <f t="shared" si="25"/>
        <v/>
      </c>
      <c r="R73" s="23" t="str">
        <f t="shared" si="26"/>
        <v/>
      </c>
      <c r="S73" s="23" t="str">
        <f t="shared" si="27"/>
        <v/>
      </c>
      <c r="T73" s="23" t="str">
        <f t="shared" si="28"/>
        <v/>
      </c>
      <c r="U73" s="10"/>
    </row>
    <row r="74" spans="3:21" x14ac:dyDescent="0.25">
      <c r="C74" s="8"/>
      <c r="D74" s="8"/>
      <c r="E74" s="8"/>
      <c r="F74" s="8"/>
      <c r="G74" s="25" t="str">
        <f t="shared" si="20"/>
        <v/>
      </c>
      <c r="H74" s="8"/>
      <c r="I74" s="26" t="str">
        <f t="shared" si="21"/>
        <v/>
      </c>
      <c r="J74" s="8"/>
      <c r="K74" s="26" t="str">
        <f t="shared" si="22"/>
        <v/>
      </c>
      <c r="L74" s="8"/>
      <c r="M74" s="26" t="str">
        <f t="shared" si="23"/>
        <v/>
      </c>
      <c r="N74" s="8"/>
      <c r="O74" s="26" t="str">
        <f t="shared" si="24"/>
        <v/>
      </c>
      <c r="P74" s="23" t="str">
        <f t="shared" si="19"/>
        <v/>
      </c>
      <c r="Q74" s="23" t="str">
        <f t="shared" si="25"/>
        <v/>
      </c>
      <c r="R74" s="23" t="str">
        <f t="shared" si="26"/>
        <v/>
      </c>
      <c r="S74" s="23" t="str">
        <f t="shared" si="27"/>
        <v/>
      </c>
      <c r="T74" s="23" t="str">
        <f t="shared" si="28"/>
        <v/>
      </c>
      <c r="U74" s="10"/>
    </row>
    <row r="75" spans="3:21" x14ac:dyDescent="0.25">
      <c r="C75" s="8"/>
      <c r="D75" s="8"/>
      <c r="E75" s="8"/>
      <c r="F75" s="8"/>
      <c r="G75" s="25" t="str">
        <f t="shared" si="20"/>
        <v/>
      </c>
      <c r="H75" s="8"/>
      <c r="I75" s="26" t="str">
        <f t="shared" si="21"/>
        <v/>
      </c>
      <c r="J75" s="8"/>
      <c r="K75" s="26" t="str">
        <f t="shared" si="22"/>
        <v/>
      </c>
      <c r="L75" s="8"/>
      <c r="M75" s="26" t="str">
        <f t="shared" si="23"/>
        <v/>
      </c>
      <c r="N75" s="8"/>
      <c r="O75" s="26" t="str">
        <f t="shared" si="24"/>
        <v/>
      </c>
      <c r="P75" s="23" t="str">
        <f t="shared" ref="P75:P100" si="29">IF(COUNT(F75:O75)=0,"",SUM(F75:O75))</f>
        <v/>
      </c>
      <c r="Q75" s="23" t="str">
        <f t="shared" si="25"/>
        <v/>
      </c>
      <c r="R75" s="23" t="str">
        <f t="shared" si="26"/>
        <v/>
      </c>
      <c r="S75" s="23" t="str">
        <f t="shared" si="27"/>
        <v/>
      </c>
      <c r="T75" s="23" t="str">
        <f t="shared" si="28"/>
        <v/>
      </c>
      <c r="U75" s="10"/>
    </row>
    <row r="76" spans="3:21" x14ac:dyDescent="0.25">
      <c r="C76" s="8"/>
      <c r="D76" s="8"/>
      <c r="E76" s="8"/>
      <c r="F76" s="8"/>
      <c r="G76" s="25" t="str">
        <f t="shared" si="20"/>
        <v/>
      </c>
      <c r="H76" s="8"/>
      <c r="I76" s="26" t="str">
        <f t="shared" si="21"/>
        <v/>
      </c>
      <c r="J76" s="8"/>
      <c r="K76" s="26" t="str">
        <f t="shared" si="22"/>
        <v/>
      </c>
      <c r="L76" s="8"/>
      <c r="M76" s="26" t="str">
        <f t="shared" si="23"/>
        <v/>
      </c>
      <c r="N76" s="8"/>
      <c r="O76" s="26" t="str">
        <f t="shared" si="24"/>
        <v/>
      </c>
      <c r="P76" s="23" t="str">
        <f t="shared" si="29"/>
        <v/>
      </c>
      <c r="Q76" s="23" t="str">
        <f t="shared" si="25"/>
        <v/>
      </c>
      <c r="R76" s="23" t="str">
        <f t="shared" si="26"/>
        <v/>
      </c>
      <c r="S76" s="23" t="str">
        <f t="shared" si="27"/>
        <v/>
      </c>
      <c r="T76" s="23" t="str">
        <f t="shared" si="28"/>
        <v/>
      </c>
      <c r="U76" s="10"/>
    </row>
    <row r="77" spans="3:21" x14ac:dyDescent="0.25">
      <c r="C77" s="8"/>
      <c r="D77" s="8"/>
      <c r="E77" s="8"/>
      <c r="F77" s="8"/>
      <c r="G77" s="25" t="str">
        <f t="shared" si="20"/>
        <v/>
      </c>
      <c r="H77" s="8"/>
      <c r="I77" s="26" t="str">
        <f t="shared" si="21"/>
        <v/>
      </c>
      <c r="J77" s="8"/>
      <c r="K77" s="26" t="str">
        <f t="shared" si="22"/>
        <v/>
      </c>
      <c r="L77" s="8"/>
      <c r="M77" s="26" t="str">
        <f t="shared" si="23"/>
        <v/>
      </c>
      <c r="N77" s="8"/>
      <c r="O77" s="26" t="str">
        <f t="shared" si="24"/>
        <v/>
      </c>
      <c r="P77" s="23" t="str">
        <f t="shared" si="29"/>
        <v/>
      </c>
      <c r="Q77" s="23" t="str">
        <f t="shared" si="25"/>
        <v/>
      </c>
      <c r="R77" s="23" t="str">
        <f t="shared" si="26"/>
        <v/>
      </c>
      <c r="S77" s="23" t="str">
        <f t="shared" si="27"/>
        <v/>
      </c>
      <c r="T77" s="23" t="str">
        <f t="shared" si="28"/>
        <v/>
      </c>
      <c r="U77" s="10"/>
    </row>
    <row r="78" spans="3:21" x14ac:dyDescent="0.25">
      <c r="C78" s="8"/>
      <c r="D78" s="8"/>
      <c r="E78" s="8"/>
      <c r="F78" s="8"/>
      <c r="G78" s="25" t="str">
        <f t="shared" si="20"/>
        <v/>
      </c>
      <c r="H78" s="8"/>
      <c r="I78" s="26" t="str">
        <f t="shared" si="21"/>
        <v/>
      </c>
      <c r="J78" s="8"/>
      <c r="K78" s="26" t="str">
        <f t="shared" si="22"/>
        <v/>
      </c>
      <c r="L78" s="8"/>
      <c r="M78" s="26" t="str">
        <f t="shared" si="23"/>
        <v/>
      </c>
      <c r="N78" s="8"/>
      <c r="O78" s="26" t="str">
        <f t="shared" si="24"/>
        <v/>
      </c>
      <c r="P78" s="23" t="str">
        <f t="shared" si="29"/>
        <v/>
      </c>
      <c r="Q78" s="23" t="str">
        <f t="shared" si="25"/>
        <v/>
      </c>
      <c r="R78" s="23" t="str">
        <f t="shared" si="26"/>
        <v/>
      </c>
      <c r="S78" s="23" t="str">
        <f t="shared" si="27"/>
        <v/>
      </c>
      <c r="T78" s="23" t="str">
        <f t="shared" si="28"/>
        <v/>
      </c>
      <c r="U78" s="10"/>
    </row>
    <row r="79" spans="3:21" x14ac:dyDescent="0.25">
      <c r="C79" s="8"/>
      <c r="D79" s="8"/>
      <c r="E79" s="8"/>
      <c r="F79" s="8"/>
      <c r="G79" s="25" t="str">
        <f t="shared" si="20"/>
        <v/>
      </c>
      <c r="H79" s="8"/>
      <c r="I79" s="26" t="str">
        <f t="shared" si="21"/>
        <v/>
      </c>
      <c r="J79" s="8"/>
      <c r="K79" s="26" t="str">
        <f t="shared" si="22"/>
        <v/>
      </c>
      <c r="L79" s="8"/>
      <c r="M79" s="26" t="str">
        <f t="shared" si="23"/>
        <v/>
      </c>
      <c r="N79" s="8"/>
      <c r="O79" s="26" t="str">
        <f t="shared" si="24"/>
        <v/>
      </c>
      <c r="P79" s="23" t="str">
        <f t="shared" si="29"/>
        <v/>
      </c>
      <c r="Q79" s="23" t="str">
        <f t="shared" si="25"/>
        <v/>
      </c>
      <c r="R79" s="23" t="str">
        <f t="shared" si="26"/>
        <v/>
      </c>
      <c r="S79" s="23" t="str">
        <f t="shared" si="27"/>
        <v/>
      </c>
      <c r="T79" s="23" t="str">
        <f t="shared" si="28"/>
        <v/>
      </c>
      <c r="U79" s="10"/>
    </row>
    <row r="80" spans="3:21" x14ac:dyDescent="0.25">
      <c r="C80" s="8"/>
      <c r="D80" s="8"/>
      <c r="E80" s="8"/>
      <c r="F80" s="8"/>
      <c r="G80" s="25" t="str">
        <f t="shared" si="20"/>
        <v/>
      </c>
      <c r="H80" s="8"/>
      <c r="I80" s="26" t="str">
        <f t="shared" si="21"/>
        <v/>
      </c>
      <c r="J80" s="8"/>
      <c r="K80" s="26" t="str">
        <f t="shared" si="22"/>
        <v/>
      </c>
      <c r="L80" s="8"/>
      <c r="M80" s="26" t="str">
        <f t="shared" si="23"/>
        <v/>
      </c>
      <c r="N80" s="8"/>
      <c r="O80" s="26" t="str">
        <f t="shared" si="24"/>
        <v/>
      </c>
      <c r="P80" s="23" t="str">
        <f t="shared" si="29"/>
        <v/>
      </c>
      <c r="Q80" s="23" t="str">
        <f t="shared" si="25"/>
        <v/>
      </c>
      <c r="R80" s="23" t="str">
        <f t="shared" si="26"/>
        <v/>
      </c>
      <c r="S80" s="23" t="str">
        <f t="shared" si="27"/>
        <v/>
      </c>
      <c r="T80" s="23" t="str">
        <f t="shared" si="28"/>
        <v/>
      </c>
      <c r="U80" s="10"/>
    </row>
    <row r="81" spans="3:21" x14ac:dyDescent="0.25">
      <c r="C81" s="8"/>
      <c r="D81" s="8"/>
      <c r="E81" s="8"/>
      <c r="F81" s="8"/>
      <c r="G81" s="25" t="str">
        <f t="shared" si="20"/>
        <v/>
      </c>
      <c r="H81" s="8"/>
      <c r="I81" s="26" t="str">
        <f t="shared" si="21"/>
        <v/>
      </c>
      <c r="J81" s="8"/>
      <c r="K81" s="26" t="str">
        <f t="shared" si="22"/>
        <v/>
      </c>
      <c r="L81" s="8"/>
      <c r="M81" s="26" t="str">
        <f t="shared" si="23"/>
        <v/>
      </c>
      <c r="N81" s="8"/>
      <c r="O81" s="26" t="str">
        <f t="shared" si="24"/>
        <v/>
      </c>
      <c r="P81" s="23" t="str">
        <f t="shared" si="29"/>
        <v/>
      </c>
      <c r="Q81" s="23" t="str">
        <f t="shared" si="25"/>
        <v/>
      </c>
      <c r="R81" s="23" t="str">
        <f t="shared" si="26"/>
        <v/>
      </c>
      <c r="S81" s="23" t="str">
        <f t="shared" si="27"/>
        <v/>
      </c>
      <c r="T81" s="23" t="str">
        <f t="shared" si="28"/>
        <v/>
      </c>
      <c r="U81" s="10"/>
    </row>
    <row r="82" spans="3:21" x14ac:dyDescent="0.25">
      <c r="C82" s="8"/>
      <c r="D82" s="8"/>
      <c r="E82" s="8"/>
      <c r="F82" s="8"/>
      <c r="G82" s="25" t="str">
        <f t="shared" si="20"/>
        <v/>
      </c>
      <c r="H82" s="8"/>
      <c r="I82" s="26" t="str">
        <f t="shared" si="21"/>
        <v/>
      </c>
      <c r="J82" s="8"/>
      <c r="K82" s="26" t="str">
        <f t="shared" si="22"/>
        <v/>
      </c>
      <c r="L82" s="8"/>
      <c r="M82" s="26" t="str">
        <f t="shared" si="23"/>
        <v/>
      </c>
      <c r="N82" s="8"/>
      <c r="O82" s="26" t="str">
        <f t="shared" si="24"/>
        <v/>
      </c>
      <c r="P82" s="23" t="str">
        <f t="shared" si="29"/>
        <v/>
      </c>
      <c r="Q82" s="23" t="str">
        <f t="shared" si="25"/>
        <v/>
      </c>
      <c r="R82" s="23" t="str">
        <f t="shared" si="26"/>
        <v/>
      </c>
      <c r="S82" s="23" t="str">
        <f t="shared" si="27"/>
        <v/>
      </c>
      <c r="T82" s="23" t="str">
        <f t="shared" si="28"/>
        <v/>
      </c>
      <c r="U82" s="10"/>
    </row>
    <row r="83" spans="3:21" x14ac:dyDescent="0.25">
      <c r="C83" s="8"/>
      <c r="D83" s="8"/>
      <c r="E83" s="8"/>
      <c r="F83" s="8"/>
      <c r="G83" s="25" t="str">
        <f t="shared" si="20"/>
        <v/>
      </c>
      <c r="H83" s="8"/>
      <c r="I83" s="26" t="str">
        <f t="shared" si="21"/>
        <v/>
      </c>
      <c r="J83" s="8"/>
      <c r="K83" s="26" t="str">
        <f t="shared" si="22"/>
        <v/>
      </c>
      <c r="L83" s="8"/>
      <c r="M83" s="26" t="str">
        <f t="shared" si="23"/>
        <v/>
      </c>
      <c r="N83" s="8"/>
      <c r="O83" s="26" t="str">
        <f t="shared" si="24"/>
        <v/>
      </c>
      <c r="P83" s="23" t="str">
        <f t="shared" si="29"/>
        <v/>
      </c>
      <c r="Q83" s="23" t="str">
        <f t="shared" si="25"/>
        <v/>
      </c>
      <c r="R83" s="23" t="str">
        <f t="shared" si="26"/>
        <v/>
      </c>
      <c r="S83" s="23" t="str">
        <f t="shared" si="27"/>
        <v/>
      </c>
      <c r="T83" s="23" t="str">
        <f t="shared" si="28"/>
        <v/>
      </c>
      <c r="U83" s="10"/>
    </row>
    <row r="84" spans="3:21" x14ac:dyDescent="0.25">
      <c r="C84" s="8"/>
      <c r="D84" s="8"/>
      <c r="E84" s="8"/>
      <c r="F84" s="8"/>
      <c r="G84" s="25" t="str">
        <f t="shared" si="20"/>
        <v/>
      </c>
      <c r="H84" s="8"/>
      <c r="I84" s="26" t="str">
        <f t="shared" si="21"/>
        <v/>
      </c>
      <c r="J84" s="8"/>
      <c r="K84" s="26" t="str">
        <f t="shared" si="22"/>
        <v/>
      </c>
      <c r="L84" s="8"/>
      <c r="M84" s="26" t="str">
        <f t="shared" si="23"/>
        <v/>
      </c>
      <c r="N84" s="8"/>
      <c r="O84" s="26" t="str">
        <f t="shared" si="24"/>
        <v/>
      </c>
      <c r="P84" s="23" t="str">
        <f t="shared" si="29"/>
        <v/>
      </c>
      <c r="Q84" s="23" t="str">
        <f t="shared" si="25"/>
        <v/>
      </c>
      <c r="R84" s="23" t="str">
        <f t="shared" si="26"/>
        <v/>
      </c>
      <c r="S84" s="23" t="str">
        <f t="shared" si="27"/>
        <v/>
      </c>
      <c r="T84" s="23" t="str">
        <f t="shared" si="28"/>
        <v/>
      </c>
      <c r="U84" s="10"/>
    </row>
    <row r="85" spans="3:21" x14ac:dyDescent="0.25">
      <c r="C85" s="8"/>
      <c r="D85" s="8"/>
      <c r="E85" s="8"/>
      <c r="F85" s="8"/>
      <c r="G85" s="25" t="str">
        <f t="shared" si="20"/>
        <v/>
      </c>
      <c r="H85" s="8"/>
      <c r="I85" s="26" t="str">
        <f t="shared" si="21"/>
        <v/>
      </c>
      <c r="J85" s="8"/>
      <c r="K85" s="26" t="str">
        <f t="shared" si="22"/>
        <v/>
      </c>
      <c r="L85" s="8"/>
      <c r="M85" s="26" t="str">
        <f t="shared" si="23"/>
        <v/>
      </c>
      <c r="N85" s="8"/>
      <c r="O85" s="26" t="str">
        <f t="shared" si="24"/>
        <v/>
      </c>
      <c r="P85" s="23" t="str">
        <f t="shared" si="29"/>
        <v/>
      </c>
      <c r="Q85" s="23" t="str">
        <f t="shared" si="25"/>
        <v/>
      </c>
      <c r="R85" s="23" t="str">
        <f t="shared" si="26"/>
        <v/>
      </c>
      <c r="S85" s="23" t="str">
        <f t="shared" si="27"/>
        <v/>
      </c>
      <c r="T85" s="23" t="str">
        <f t="shared" si="28"/>
        <v/>
      </c>
      <c r="U85" s="10"/>
    </row>
    <row r="86" spans="3:21" x14ac:dyDescent="0.25">
      <c r="C86" s="8"/>
      <c r="D86" s="8"/>
      <c r="E86" s="8"/>
      <c r="F86" s="8"/>
      <c r="G86" s="25" t="str">
        <f t="shared" si="20"/>
        <v/>
      </c>
      <c r="H86" s="8"/>
      <c r="I86" s="26" t="str">
        <f t="shared" si="21"/>
        <v/>
      </c>
      <c r="J86" s="8"/>
      <c r="K86" s="26" t="str">
        <f t="shared" si="22"/>
        <v/>
      </c>
      <c r="L86" s="8"/>
      <c r="M86" s="26" t="str">
        <f t="shared" si="23"/>
        <v/>
      </c>
      <c r="N86" s="8"/>
      <c r="O86" s="26" t="str">
        <f t="shared" si="24"/>
        <v/>
      </c>
      <c r="P86" s="23" t="str">
        <f t="shared" si="29"/>
        <v/>
      </c>
      <c r="Q86" s="23" t="str">
        <f t="shared" si="25"/>
        <v/>
      </c>
      <c r="R86" s="23" t="str">
        <f t="shared" si="26"/>
        <v/>
      </c>
      <c r="S86" s="23" t="str">
        <f t="shared" si="27"/>
        <v/>
      </c>
      <c r="T86" s="23" t="str">
        <f t="shared" si="28"/>
        <v/>
      </c>
      <c r="U86" s="10"/>
    </row>
    <row r="87" spans="3:21" x14ac:dyDescent="0.25">
      <c r="C87" s="8"/>
      <c r="D87" s="8"/>
      <c r="E87" s="8"/>
      <c r="F87" s="8"/>
      <c r="G87" s="25" t="str">
        <f t="shared" si="20"/>
        <v/>
      </c>
      <c r="H87" s="8"/>
      <c r="I87" s="26" t="str">
        <f t="shared" si="21"/>
        <v/>
      </c>
      <c r="J87" s="8"/>
      <c r="K87" s="26" t="str">
        <f t="shared" si="22"/>
        <v/>
      </c>
      <c r="L87" s="8"/>
      <c r="M87" s="26" t="str">
        <f t="shared" si="23"/>
        <v/>
      </c>
      <c r="N87" s="8"/>
      <c r="O87" s="26" t="str">
        <f t="shared" si="24"/>
        <v/>
      </c>
      <c r="P87" s="23" t="str">
        <f t="shared" si="29"/>
        <v/>
      </c>
      <c r="Q87" s="23" t="str">
        <f t="shared" si="25"/>
        <v/>
      </c>
      <c r="R87" s="23" t="str">
        <f t="shared" si="26"/>
        <v/>
      </c>
      <c r="S87" s="23" t="str">
        <f t="shared" si="27"/>
        <v/>
      </c>
      <c r="T87" s="23" t="str">
        <f t="shared" si="28"/>
        <v/>
      </c>
      <c r="U87" s="10"/>
    </row>
    <row r="88" spans="3:21" x14ac:dyDescent="0.25">
      <c r="C88" s="8"/>
      <c r="D88" s="8"/>
      <c r="E88" s="8"/>
      <c r="F88" s="8"/>
      <c r="G88" s="25" t="str">
        <f t="shared" si="20"/>
        <v/>
      </c>
      <c r="H88" s="8"/>
      <c r="I88" s="26" t="str">
        <f t="shared" si="21"/>
        <v/>
      </c>
      <c r="J88" s="8"/>
      <c r="K88" s="26" t="str">
        <f t="shared" si="22"/>
        <v/>
      </c>
      <c r="L88" s="8"/>
      <c r="M88" s="26" t="str">
        <f t="shared" si="23"/>
        <v/>
      </c>
      <c r="N88" s="8"/>
      <c r="O88" s="26" t="str">
        <f t="shared" si="24"/>
        <v/>
      </c>
      <c r="P88" s="23" t="str">
        <f t="shared" si="29"/>
        <v/>
      </c>
      <c r="Q88" s="23" t="str">
        <f t="shared" si="25"/>
        <v/>
      </c>
      <c r="R88" s="23" t="str">
        <f t="shared" si="26"/>
        <v/>
      </c>
      <c r="S88" s="23" t="str">
        <f t="shared" si="27"/>
        <v/>
      </c>
      <c r="T88" s="23" t="str">
        <f t="shared" si="28"/>
        <v/>
      </c>
      <c r="U88" s="10"/>
    </row>
    <row r="89" spans="3:21" x14ac:dyDescent="0.25">
      <c r="C89" s="8"/>
      <c r="D89" s="8"/>
      <c r="E89" s="8"/>
      <c r="F89" s="8"/>
      <c r="G89" s="25" t="str">
        <f t="shared" si="20"/>
        <v/>
      </c>
      <c r="H89" s="8"/>
      <c r="I89" s="26" t="str">
        <f t="shared" si="21"/>
        <v/>
      </c>
      <c r="J89" s="8"/>
      <c r="K89" s="26" t="str">
        <f t="shared" si="22"/>
        <v/>
      </c>
      <c r="L89" s="8"/>
      <c r="M89" s="26" t="str">
        <f t="shared" si="23"/>
        <v/>
      </c>
      <c r="N89" s="8"/>
      <c r="O89" s="26" t="str">
        <f t="shared" si="24"/>
        <v/>
      </c>
      <c r="P89" s="23" t="str">
        <f t="shared" si="29"/>
        <v/>
      </c>
      <c r="Q89" s="23" t="str">
        <f t="shared" si="25"/>
        <v/>
      </c>
      <c r="R89" s="23" t="str">
        <f t="shared" si="26"/>
        <v/>
      </c>
      <c r="S89" s="23" t="str">
        <f t="shared" si="27"/>
        <v/>
      </c>
      <c r="T89" s="23" t="str">
        <f t="shared" si="28"/>
        <v/>
      </c>
      <c r="U89" s="10"/>
    </row>
    <row r="90" spans="3:21" x14ac:dyDescent="0.25">
      <c r="C90" s="8"/>
      <c r="D90" s="8"/>
      <c r="E90" s="8"/>
      <c r="F90" s="8"/>
      <c r="G90" s="25" t="str">
        <f t="shared" si="20"/>
        <v/>
      </c>
      <c r="H90" s="8"/>
      <c r="I90" s="26" t="str">
        <f t="shared" si="21"/>
        <v/>
      </c>
      <c r="J90" s="8"/>
      <c r="K90" s="26" t="str">
        <f t="shared" si="22"/>
        <v/>
      </c>
      <c r="L90" s="8"/>
      <c r="M90" s="26" t="str">
        <f t="shared" si="23"/>
        <v/>
      </c>
      <c r="N90" s="8"/>
      <c r="O90" s="26" t="str">
        <f t="shared" si="24"/>
        <v/>
      </c>
      <c r="P90" s="23" t="str">
        <f t="shared" si="29"/>
        <v/>
      </c>
      <c r="Q90" s="23" t="str">
        <f t="shared" si="25"/>
        <v/>
      </c>
      <c r="R90" s="23" t="str">
        <f t="shared" si="26"/>
        <v/>
      </c>
      <c r="S90" s="23" t="str">
        <f t="shared" si="27"/>
        <v/>
      </c>
      <c r="T90" s="23" t="str">
        <f t="shared" si="28"/>
        <v/>
      </c>
      <c r="U90" s="10"/>
    </row>
    <row r="91" spans="3:21" x14ac:dyDescent="0.25">
      <c r="C91" s="8"/>
      <c r="D91" s="8"/>
      <c r="E91" s="8"/>
      <c r="F91" s="8"/>
      <c r="G91" s="25" t="str">
        <f t="shared" si="20"/>
        <v/>
      </c>
      <c r="H91" s="8"/>
      <c r="I91" s="26" t="str">
        <f t="shared" si="21"/>
        <v/>
      </c>
      <c r="J91" s="8"/>
      <c r="K91" s="26" t="str">
        <f t="shared" si="22"/>
        <v/>
      </c>
      <c r="L91" s="8"/>
      <c r="M91" s="26" t="str">
        <f t="shared" si="23"/>
        <v/>
      </c>
      <c r="N91" s="8"/>
      <c r="O91" s="26" t="str">
        <f t="shared" si="24"/>
        <v/>
      </c>
      <c r="P91" s="23" t="str">
        <f t="shared" si="29"/>
        <v/>
      </c>
      <c r="Q91" s="23" t="str">
        <f t="shared" si="25"/>
        <v/>
      </c>
      <c r="R91" s="23" t="str">
        <f t="shared" si="26"/>
        <v/>
      </c>
      <c r="S91" s="23" t="str">
        <f t="shared" si="27"/>
        <v/>
      </c>
      <c r="T91" s="23" t="str">
        <f t="shared" si="28"/>
        <v/>
      </c>
      <c r="U91" s="10"/>
    </row>
    <row r="92" spans="3:21" x14ac:dyDescent="0.25">
      <c r="C92" s="8"/>
      <c r="D92" s="8"/>
      <c r="E92" s="8"/>
      <c r="F92" s="8"/>
      <c r="G92" s="25" t="str">
        <f t="shared" si="20"/>
        <v/>
      </c>
      <c r="H92" s="8"/>
      <c r="I92" s="26" t="str">
        <f t="shared" si="21"/>
        <v/>
      </c>
      <c r="J92" s="8"/>
      <c r="K92" s="26" t="str">
        <f t="shared" si="22"/>
        <v/>
      </c>
      <c r="L92" s="8"/>
      <c r="M92" s="26" t="str">
        <f t="shared" si="23"/>
        <v/>
      </c>
      <c r="N92" s="8"/>
      <c r="O92" s="26" t="str">
        <f t="shared" si="24"/>
        <v/>
      </c>
      <c r="P92" s="23" t="str">
        <f t="shared" si="29"/>
        <v/>
      </c>
      <c r="Q92" s="23" t="str">
        <f t="shared" si="25"/>
        <v/>
      </c>
      <c r="R92" s="23" t="str">
        <f t="shared" si="26"/>
        <v/>
      </c>
      <c r="S92" s="23" t="str">
        <f t="shared" si="27"/>
        <v/>
      </c>
      <c r="T92" s="23" t="str">
        <f t="shared" si="28"/>
        <v/>
      </c>
      <c r="U92" s="10"/>
    </row>
    <row r="93" spans="3:21" x14ac:dyDescent="0.25">
      <c r="C93" s="8"/>
      <c r="D93" s="8"/>
      <c r="E93" s="8"/>
      <c r="F93" s="8"/>
      <c r="G93" s="25" t="str">
        <f t="shared" si="20"/>
        <v/>
      </c>
      <c r="H93" s="8"/>
      <c r="I93" s="26" t="str">
        <f t="shared" si="21"/>
        <v/>
      </c>
      <c r="J93" s="8"/>
      <c r="K93" s="26" t="str">
        <f t="shared" si="22"/>
        <v/>
      </c>
      <c r="L93" s="8"/>
      <c r="M93" s="26" t="str">
        <f t="shared" si="23"/>
        <v/>
      </c>
      <c r="N93" s="8"/>
      <c r="O93" s="26" t="str">
        <f t="shared" si="24"/>
        <v/>
      </c>
      <c r="P93" s="23" t="str">
        <f t="shared" si="29"/>
        <v/>
      </c>
      <c r="Q93" s="23" t="str">
        <f t="shared" si="25"/>
        <v/>
      </c>
      <c r="R93" s="23" t="str">
        <f t="shared" si="26"/>
        <v/>
      </c>
      <c r="S93" s="23" t="str">
        <f t="shared" si="27"/>
        <v/>
      </c>
      <c r="T93" s="23" t="str">
        <f t="shared" si="28"/>
        <v/>
      </c>
      <c r="U93" s="10"/>
    </row>
    <row r="94" spans="3:21" x14ac:dyDescent="0.25">
      <c r="C94" s="8"/>
      <c r="D94" s="8"/>
      <c r="E94" s="8"/>
      <c r="F94" s="8"/>
      <c r="G94" s="25" t="str">
        <f t="shared" si="20"/>
        <v/>
      </c>
      <c r="H94" s="8"/>
      <c r="I94" s="26" t="str">
        <f t="shared" si="21"/>
        <v/>
      </c>
      <c r="J94" s="8"/>
      <c r="K94" s="26" t="str">
        <f t="shared" si="22"/>
        <v/>
      </c>
      <c r="L94" s="8"/>
      <c r="M94" s="26" t="str">
        <f t="shared" si="23"/>
        <v/>
      </c>
      <c r="N94" s="8"/>
      <c r="O94" s="26" t="str">
        <f t="shared" si="24"/>
        <v/>
      </c>
      <c r="P94" s="23" t="str">
        <f t="shared" si="29"/>
        <v/>
      </c>
      <c r="Q94" s="23" t="str">
        <f t="shared" si="25"/>
        <v/>
      </c>
      <c r="R94" s="23" t="str">
        <f t="shared" si="26"/>
        <v/>
      </c>
      <c r="S94" s="23" t="str">
        <f t="shared" si="27"/>
        <v/>
      </c>
      <c r="T94" s="23" t="str">
        <f t="shared" si="28"/>
        <v/>
      </c>
      <c r="U94" s="10"/>
    </row>
    <row r="95" spans="3:21" x14ac:dyDescent="0.25">
      <c r="C95" s="8"/>
      <c r="D95" s="8"/>
      <c r="E95" s="8"/>
      <c r="F95" s="8"/>
      <c r="G95" s="25" t="str">
        <f t="shared" si="20"/>
        <v/>
      </c>
      <c r="H95" s="8"/>
      <c r="I95" s="26" t="str">
        <f t="shared" si="21"/>
        <v/>
      </c>
      <c r="J95" s="8"/>
      <c r="K95" s="26" t="str">
        <f t="shared" si="22"/>
        <v/>
      </c>
      <c r="L95" s="8"/>
      <c r="M95" s="26" t="str">
        <f t="shared" si="23"/>
        <v/>
      </c>
      <c r="N95" s="8"/>
      <c r="O95" s="26" t="str">
        <f t="shared" si="24"/>
        <v/>
      </c>
      <c r="P95" s="23" t="str">
        <f t="shared" si="29"/>
        <v/>
      </c>
      <c r="Q95" s="23" t="str">
        <f t="shared" si="25"/>
        <v/>
      </c>
      <c r="R95" s="23" t="str">
        <f t="shared" si="26"/>
        <v/>
      </c>
      <c r="S95" s="23" t="str">
        <f t="shared" si="27"/>
        <v/>
      </c>
      <c r="T95" s="23" t="str">
        <f t="shared" si="28"/>
        <v/>
      </c>
      <c r="U95" s="10"/>
    </row>
    <row r="96" spans="3:21" x14ac:dyDescent="0.25">
      <c r="C96" s="8"/>
      <c r="D96" s="8"/>
      <c r="E96" s="8"/>
      <c r="F96" s="8"/>
      <c r="G96" s="25" t="str">
        <f t="shared" si="20"/>
        <v/>
      </c>
      <c r="H96" s="8"/>
      <c r="I96" s="26" t="str">
        <f t="shared" si="21"/>
        <v/>
      </c>
      <c r="J96" s="8"/>
      <c r="K96" s="26" t="str">
        <f t="shared" si="22"/>
        <v/>
      </c>
      <c r="L96" s="8"/>
      <c r="M96" s="26" t="str">
        <f t="shared" si="23"/>
        <v/>
      </c>
      <c r="N96" s="8"/>
      <c r="O96" s="26" t="str">
        <f t="shared" si="24"/>
        <v/>
      </c>
      <c r="P96" s="23" t="str">
        <f t="shared" si="29"/>
        <v/>
      </c>
      <c r="Q96" s="23" t="str">
        <f t="shared" si="25"/>
        <v/>
      </c>
      <c r="R96" s="23" t="str">
        <f t="shared" si="26"/>
        <v/>
      </c>
      <c r="S96" s="23" t="str">
        <f t="shared" si="27"/>
        <v/>
      </c>
      <c r="T96" s="23" t="str">
        <f t="shared" si="28"/>
        <v/>
      </c>
      <c r="U96" s="10"/>
    </row>
    <row r="97" spans="3:21" x14ac:dyDescent="0.25">
      <c r="C97" s="8"/>
      <c r="D97" s="8"/>
      <c r="E97" s="8"/>
      <c r="F97" s="8"/>
      <c r="G97" s="25" t="str">
        <f t="shared" si="20"/>
        <v/>
      </c>
      <c r="H97" s="8"/>
      <c r="I97" s="26" t="str">
        <f t="shared" si="21"/>
        <v/>
      </c>
      <c r="J97" s="8"/>
      <c r="K97" s="26" t="str">
        <f t="shared" si="22"/>
        <v/>
      </c>
      <c r="L97" s="8"/>
      <c r="M97" s="26" t="str">
        <f t="shared" si="23"/>
        <v/>
      </c>
      <c r="N97" s="8"/>
      <c r="O97" s="26" t="str">
        <f t="shared" si="24"/>
        <v/>
      </c>
      <c r="P97" s="23" t="str">
        <f t="shared" si="29"/>
        <v/>
      </c>
      <c r="Q97" s="23" t="str">
        <f t="shared" si="25"/>
        <v/>
      </c>
      <c r="R97" s="23" t="str">
        <f t="shared" si="26"/>
        <v/>
      </c>
      <c r="S97" s="23" t="str">
        <f t="shared" si="27"/>
        <v/>
      </c>
      <c r="T97" s="23" t="str">
        <f t="shared" si="28"/>
        <v/>
      </c>
      <c r="U97" s="10"/>
    </row>
    <row r="98" spans="3:21" x14ac:dyDescent="0.25">
      <c r="C98" s="8"/>
      <c r="D98" s="8"/>
      <c r="E98" s="8"/>
      <c r="F98" s="8"/>
      <c r="G98" s="25" t="str">
        <f t="shared" si="20"/>
        <v/>
      </c>
      <c r="H98" s="8"/>
      <c r="I98" s="26" t="str">
        <f t="shared" si="21"/>
        <v/>
      </c>
      <c r="J98" s="8"/>
      <c r="K98" s="26" t="str">
        <f t="shared" si="22"/>
        <v/>
      </c>
      <c r="L98" s="8"/>
      <c r="M98" s="26" t="str">
        <f t="shared" si="23"/>
        <v/>
      </c>
      <c r="N98" s="8"/>
      <c r="O98" s="26" t="str">
        <f t="shared" si="24"/>
        <v/>
      </c>
      <c r="P98" s="23" t="str">
        <f t="shared" si="29"/>
        <v/>
      </c>
      <c r="Q98" s="23" t="str">
        <f t="shared" si="25"/>
        <v/>
      </c>
      <c r="R98" s="23" t="str">
        <f t="shared" si="26"/>
        <v/>
      </c>
      <c r="S98" s="23" t="str">
        <f t="shared" si="27"/>
        <v/>
      </c>
      <c r="T98" s="23" t="str">
        <f t="shared" si="28"/>
        <v/>
      </c>
      <c r="U98" s="10"/>
    </row>
    <row r="99" spans="3:21" x14ac:dyDescent="0.25">
      <c r="C99" s="8"/>
      <c r="D99" s="8"/>
      <c r="E99" s="8"/>
      <c r="F99" s="8"/>
      <c r="G99" s="25" t="str">
        <f t="shared" si="20"/>
        <v/>
      </c>
      <c r="H99" s="8"/>
      <c r="I99" s="26" t="str">
        <f t="shared" si="21"/>
        <v/>
      </c>
      <c r="J99" s="8"/>
      <c r="K99" s="26" t="str">
        <f t="shared" si="22"/>
        <v/>
      </c>
      <c r="L99" s="8"/>
      <c r="M99" s="26" t="str">
        <f t="shared" si="23"/>
        <v/>
      </c>
      <c r="N99" s="8"/>
      <c r="O99" s="26" t="str">
        <f t="shared" si="24"/>
        <v/>
      </c>
      <c r="P99" s="23" t="str">
        <f t="shared" si="29"/>
        <v/>
      </c>
      <c r="Q99" s="23" t="str">
        <f t="shared" si="25"/>
        <v/>
      </c>
      <c r="R99" s="23" t="str">
        <f t="shared" si="26"/>
        <v/>
      </c>
      <c r="S99" s="23" t="str">
        <f t="shared" si="27"/>
        <v/>
      </c>
      <c r="T99" s="23" t="str">
        <f t="shared" si="28"/>
        <v/>
      </c>
      <c r="U99" s="10"/>
    </row>
    <row r="100" spans="3:21" x14ac:dyDescent="0.25">
      <c r="C100" s="8"/>
      <c r="D100" s="8"/>
      <c r="E100" s="8"/>
      <c r="F100" s="8"/>
      <c r="G100" s="25" t="str">
        <f t="shared" si="20"/>
        <v/>
      </c>
      <c r="H100" s="8"/>
      <c r="I100" s="26" t="str">
        <f t="shared" si="21"/>
        <v/>
      </c>
      <c r="J100" s="8"/>
      <c r="K100" s="26" t="str">
        <f t="shared" si="22"/>
        <v/>
      </c>
      <c r="L100" s="8"/>
      <c r="M100" s="26" t="str">
        <f t="shared" si="23"/>
        <v/>
      </c>
      <c r="N100" s="8"/>
      <c r="O100" s="26" t="str">
        <f t="shared" si="24"/>
        <v/>
      </c>
      <c r="P100" s="23" t="str">
        <f t="shared" si="29"/>
        <v/>
      </c>
      <c r="Q100" s="23" t="str">
        <f t="shared" si="25"/>
        <v/>
      </c>
      <c r="R100" s="23" t="str">
        <f t="shared" si="26"/>
        <v/>
      </c>
      <c r="S100" s="23" t="str">
        <f t="shared" si="27"/>
        <v/>
      </c>
      <c r="T100" s="23" t="str">
        <f t="shared" si="28"/>
        <v/>
      </c>
      <c r="U100" s="10"/>
    </row>
    <row r="101" spans="3:21" x14ac:dyDescent="0.25">
      <c r="C101" s="8"/>
      <c r="D101" s="8"/>
      <c r="E101" s="8"/>
      <c r="F101" s="8"/>
      <c r="G101" s="25" t="str">
        <f t="shared" ref="G101:G158" si="30">IF(F101="","",VLOOKUP(F101,$Y$4:$Z$15,2,TRUE))</f>
        <v/>
      </c>
      <c r="H101" s="8"/>
      <c r="I101" s="26" t="str">
        <f t="shared" ref="I101:I158" si="31">IF(H101="","",VLOOKUP(H101,$Y$4:$Z$15,2,TRUE))</f>
        <v/>
      </c>
      <c r="J101" s="8"/>
      <c r="K101" s="26" t="str">
        <f t="shared" ref="K101:K158" si="32">IF(J101="","",VLOOKUP(J101,$Y$4:$Z$15,2,TRUE))</f>
        <v/>
      </c>
      <c r="L101" s="8"/>
      <c r="M101" s="26" t="str">
        <f t="shared" ref="M101:M158" si="33">IF(L101="","",VLOOKUP(L101,$Y$4:$Z$15,2,TRUE))</f>
        <v/>
      </c>
      <c r="N101" s="8"/>
      <c r="O101" s="26" t="str">
        <f t="shared" ref="O101:O158" si="34">IF(N101="","",VLOOKUP(N101,$Y$4:$Z$15,2,TRUE))</f>
        <v/>
      </c>
      <c r="P101" s="23" t="str">
        <f t="shared" ref="P101:P131" si="35">IF(COUNT(F101:O101)=0,"",SUM(F101:O101))</f>
        <v/>
      </c>
      <c r="Q101" s="23" t="str">
        <f t="shared" ref="Q101:Q131" si="36">IF(P101="","",P101/500*12)</f>
        <v/>
      </c>
      <c r="R101" s="23" t="str">
        <f t="shared" ref="R101:R158" si="37">IF(Q101="","",VLOOKUP(Q101,$W$4:$X$15,2,TRUE))</f>
        <v/>
      </c>
      <c r="S101" s="23" t="str">
        <f t="shared" ref="S101:S158" si="38">IF(P101="","",RANK(P101,$P$5:$P$998,0))</f>
        <v/>
      </c>
      <c r="T101" s="23" t="str">
        <f t="shared" ref="T101:T158" si="39">IFERROR(VLOOKUP(R101,$AA$4:$AB$15,2,FALSE),"")</f>
        <v/>
      </c>
      <c r="U101" s="10"/>
    </row>
    <row r="102" spans="3:21" x14ac:dyDescent="0.25">
      <c r="C102" s="8"/>
      <c r="D102" s="8"/>
      <c r="E102" s="8"/>
      <c r="F102" s="8"/>
      <c r="G102" s="25" t="str">
        <f t="shared" si="30"/>
        <v/>
      </c>
      <c r="H102" s="8"/>
      <c r="I102" s="26" t="str">
        <f t="shared" si="31"/>
        <v/>
      </c>
      <c r="J102" s="8"/>
      <c r="K102" s="26" t="str">
        <f t="shared" si="32"/>
        <v/>
      </c>
      <c r="L102" s="8"/>
      <c r="M102" s="26" t="str">
        <f t="shared" si="33"/>
        <v/>
      </c>
      <c r="N102" s="8"/>
      <c r="O102" s="26" t="str">
        <f t="shared" si="34"/>
        <v/>
      </c>
      <c r="P102" s="23" t="str">
        <f t="shared" si="35"/>
        <v/>
      </c>
      <c r="Q102" s="23" t="str">
        <f t="shared" si="36"/>
        <v/>
      </c>
      <c r="R102" s="23" t="str">
        <f t="shared" si="37"/>
        <v/>
      </c>
      <c r="S102" s="23" t="str">
        <f t="shared" si="38"/>
        <v/>
      </c>
      <c r="T102" s="23" t="str">
        <f t="shared" si="39"/>
        <v/>
      </c>
      <c r="U102" s="10"/>
    </row>
    <row r="103" spans="3:21" x14ac:dyDescent="0.25">
      <c r="C103" s="8"/>
      <c r="D103" s="8"/>
      <c r="E103" s="8"/>
      <c r="F103" s="8"/>
      <c r="G103" s="25" t="str">
        <f t="shared" si="30"/>
        <v/>
      </c>
      <c r="H103" s="8"/>
      <c r="I103" s="26" t="str">
        <f t="shared" si="31"/>
        <v/>
      </c>
      <c r="J103" s="8"/>
      <c r="K103" s="26" t="str">
        <f t="shared" si="32"/>
        <v/>
      </c>
      <c r="L103" s="8"/>
      <c r="M103" s="26" t="str">
        <f t="shared" si="33"/>
        <v/>
      </c>
      <c r="N103" s="8"/>
      <c r="O103" s="26" t="str">
        <f t="shared" si="34"/>
        <v/>
      </c>
      <c r="P103" s="23" t="str">
        <f t="shared" si="35"/>
        <v/>
      </c>
      <c r="Q103" s="23" t="str">
        <f t="shared" si="36"/>
        <v/>
      </c>
      <c r="R103" s="23" t="str">
        <f t="shared" si="37"/>
        <v/>
      </c>
      <c r="S103" s="23" t="str">
        <f t="shared" si="38"/>
        <v/>
      </c>
      <c r="T103" s="23" t="str">
        <f t="shared" si="39"/>
        <v/>
      </c>
      <c r="U103" s="10"/>
    </row>
    <row r="104" spans="3:21" x14ac:dyDescent="0.25">
      <c r="C104" s="8"/>
      <c r="D104" s="8"/>
      <c r="E104" s="8"/>
      <c r="F104" s="8"/>
      <c r="G104" s="25" t="str">
        <f t="shared" si="30"/>
        <v/>
      </c>
      <c r="H104" s="8"/>
      <c r="I104" s="26" t="str">
        <f t="shared" si="31"/>
        <v/>
      </c>
      <c r="J104" s="8"/>
      <c r="K104" s="26" t="str">
        <f t="shared" si="32"/>
        <v/>
      </c>
      <c r="L104" s="8"/>
      <c r="M104" s="26" t="str">
        <f t="shared" si="33"/>
        <v/>
      </c>
      <c r="N104" s="8"/>
      <c r="O104" s="26" t="str">
        <f t="shared" si="34"/>
        <v/>
      </c>
      <c r="P104" s="23" t="str">
        <f t="shared" si="35"/>
        <v/>
      </c>
      <c r="Q104" s="23" t="str">
        <f t="shared" si="36"/>
        <v/>
      </c>
      <c r="R104" s="23" t="str">
        <f t="shared" si="37"/>
        <v/>
      </c>
      <c r="S104" s="23" t="str">
        <f t="shared" si="38"/>
        <v/>
      </c>
      <c r="T104" s="23" t="str">
        <f t="shared" si="39"/>
        <v/>
      </c>
      <c r="U104" s="10"/>
    </row>
    <row r="105" spans="3:21" x14ac:dyDescent="0.25">
      <c r="C105" s="8"/>
      <c r="D105" s="8"/>
      <c r="E105" s="8"/>
      <c r="F105" s="8"/>
      <c r="G105" s="25" t="str">
        <f t="shared" si="30"/>
        <v/>
      </c>
      <c r="H105" s="8"/>
      <c r="I105" s="26" t="str">
        <f t="shared" si="31"/>
        <v/>
      </c>
      <c r="J105" s="8"/>
      <c r="K105" s="26" t="str">
        <f t="shared" si="32"/>
        <v/>
      </c>
      <c r="L105" s="8"/>
      <c r="M105" s="26" t="str">
        <f t="shared" si="33"/>
        <v/>
      </c>
      <c r="N105" s="8"/>
      <c r="O105" s="26" t="str">
        <f t="shared" si="34"/>
        <v/>
      </c>
      <c r="P105" s="23" t="str">
        <f t="shared" si="35"/>
        <v/>
      </c>
      <c r="Q105" s="23" t="str">
        <f t="shared" si="36"/>
        <v/>
      </c>
      <c r="R105" s="23" t="str">
        <f t="shared" si="37"/>
        <v/>
      </c>
      <c r="S105" s="23" t="str">
        <f t="shared" si="38"/>
        <v/>
      </c>
      <c r="T105" s="23" t="str">
        <f t="shared" si="39"/>
        <v/>
      </c>
      <c r="U105" s="10"/>
    </row>
    <row r="106" spans="3:21" x14ac:dyDescent="0.25">
      <c r="C106" s="8"/>
      <c r="D106" s="8"/>
      <c r="E106" s="8"/>
      <c r="F106" s="8"/>
      <c r="G106" s="25" t="str">
        <f t="shared" si="30"/>
        <v/>
      </c>
      <c r="H106" s="8"/>
      <c r="I106" s="26" t="str">
        <f t="shared" si="31"/>
        <v/>
      </c>
      <c r="J106" s="8"/>
      <c r="K106" s="26" t="str">
        <f t="shared" si="32"/>
        <v/>
      </c>
      <c r="L106" s="8"/>
      <c r="M106" s="26" t="str">
        <f t="shared" si="33"/>
        <v/>
      </c>
      <c r="N106" s="8"/>
      <c r="O106" s="26" t="str">
        <f t="shared" si="34"/>
        <v/>
      </c>
      <c r="P106" s="23" t="str">
        <f t="shared" si="35"/>
        <v/>
      </c>
      <c r="Q106" s="23" t="str">
        <f t="shared" si="36"/>
        <v/>
      </c>
      <c r="R106" s="23" t="str">
        <f t="shared" si="37"/>
        <v/>
      </c>
      <c r="S106" s="23" t="str">
        <f t="shared" si="38"/>
        <v/>
      </c>
      <c r="T106" s="23" t="str">
        <f t="shared" si="39"/>
        <v/>
      </c>
      <c r="U106" s="10"/>
    </row>
    <row r="107" spans="3:21" x14ac:dyDescent="0.25">
      <c r="C107" s="8"/>
      <c r="D107" s="8"/>
      <c r="E107" s="8"/>
      <c r="F107" s="8"/>
      <c r="G107" s="25" t="str">
        <f t="shared" si="30"/>
        <v/>
      </c>
      <c r="H107" s="8"/>
      <c r="I107" s="26" t="str">
        <f t="shared" si="31"/>
        <v/>
      </c>
      <c r="J107" s="8"/>
      <c r="K107" s="26" t="str">
        <f t="shared" si="32"/>
        <v/>
      </c>
      <c r="L107" s="8"/>
      <c r="M107" s="26" t="str">
        <f t="shared" si="33"/>
        <v/>
      </c>
      <c r="N107" s="8"/>
      <c r="O107" s="26" t="str">
        <f t="shared" si="34"/>
        <v/>
      </c>
      <c r="P107" s="23" t="str">
        <f t="shared" si="35"/>
        <v/>
      </c>
      <c r="Q107" s="23" t="str">
        <f t="shared" si="36"/>
        <v/>
      </c>
      <c r="R107" s="23" t="str">
        <f t="shared" si="37"/>
        <v/>
      </c>
      <c r="S107" s="23" t="str">
        <f t="shared" si="38"/>
        <v/>
      </c>
      <c r="T107" s="23" t="str">
        <f t="shared" si="39"/>
        <v/>
      </c>
      <c r="U107" s="10"/>
    </row>
    <row r="108" spans="3:21" x14ac:dyDescent="0.25">
      <c r="C108" s="8"/>
      <c r="D108" s="8"/>
      <c r="E108" s="8"/>
      <c r="F108" s="8"/>
      <c r="G108" s="25" t="str">
        <f t="shared" si="30"/>
        <v/>
      </c>
      <c r="H108" s="8"/>
      <c r="I108" s="26" t="str">
        <f t="shared" si="31"/>
        <v/>
      </c>
      <c r="J108" s="8"/>
      <c r="K108" s="26" t="str">
        <f t="shared" si="32"/>
        <v/>
      </c>
      <c r="L108" s="8"/>
      <c r="M108" s="26" t="str">
        <f t="shared" si="33"/>
        <v/>
      </c>
      <c r="N108" s="8"/>
      <c r="O108" s="26" t="str">
        <f t="shared" si="34"/>
        <v/>
      </c>
      <c r="P108" s="23" t="str">
        <f t="shared" si="35"/>
        <v/>
      </c>
      <c r="Q108" s="23" t="str">
        <f t="shared" si="36"/>
        <v/>
      </c>
      <c r="R108" s="23" t="str">
        <f t="shared" si="37"/>
        <v/>
      </c>
      <c r="S108" s="23" t="str">
        <f t="shared" si="38"/>
        <v/>
      </c>
      <c r="T108" s="23" t="str">
        <f t="shared" si="39"/>
        <v/>
      </c>
      <c r="U108" s="10"/>
    </row>
    <row r="109" spans="3:21" x14ac:dyDescent="0.25">
      <c r="C109" s="8"/>
      <c r="D109" s="8"/>
      <c r="E109" s="8"/>
      <c r="F109" s="8"/>
      <c r="G109" s="25" t="str">
        <f t="shared" si="30"/>
        <v/>
      </c>
      <c r="H109" s="8"/>
      <c r="I109" s="26" t="str">
        <f t="shared" si="31"/>
        <v/>
      </c>
      <c r="J109" s="8"/>
      <c r="K109" s="26" t="str">
        <f t="shared" si="32"/>
        <v/>
      </c>
      <c r="L109" s="8"/>
      <c r="M109" s="26" t="str">
        <f t="shared" si="33"/>
        <v/>
      </c>
      <c r="N109" s="8"/>
      <c r="O109" s="26" t="str">
        <f t="shared" si="34"/>
        <v/>
      </c>
      <c r="P109" s="23" t="str">
        <f t="shared" si="35"/>
        <v/>
      </c>
      <c r="Q109" s="23" t="str">
        <f t="shared" si="36"/>
        <v/>
      </c>
      <c r="R109" s="23" t="str">
        <f t="shared" si="37"/>
        <v/>
      </c>
      <c r="S109" s="23" t="str">
        <f t="shared" si="38"/>
        <v/>
      </c>
      <c r="T109" s="23" t="str">
        <f t="shared" si="39"/>
        <v/>
      </c>
      <c r="U109" s="10"/>
    </row>
    <row r="110" spans="3:21" x14ac:dyDescent="0.25">
      <c r="C110" s="8"/>
      <c r="D110" s="8"/>
      <c r="E110" s="8"/>
      <c r="F110" s="8"/>
      <c r="G110" s="25" t="str">
        <f t="shared" si="30"/>
        <v/>
      </c>
      <c r="H110" s="8"/>
      <c r="I110" s="26" t="str">
        <f t="shared" si="31"/>
        <v/>
      </c>
      <c r="J110" s="8"/>
      <c r="K110" s="26" t="str">
        <f t="shared" si="32"/>
        <v/>
      </c>
      <c r="L110" s="8"/>
      <c r="M110" s="26" t="str">
        <f t="shared" si="33"/>
        <v/>
      </c>
      <c r="N110" s="8"/>
      <c r="O110" s="26" t="str">
        <f t="shared" si="34"/>
        <v/>
      </c>
      <c r="P110" s="23" t="str">
        <f t="shared" si="35"/>
        <v/>
      </c>
      <c r="Q110" s="23" t="str">
        <f t="shared" si="36"/>
        <v/>
      </c>
      <c r="R110" s="23" t="str">
        <f t="shared" si="37"/>
        <v/>
      </c>
      <c r="S110" s="23" t="str">
        <f t="shared" si="38"/>
        <v/>
      </c>
      <c r="T110" s="23" t="str">
        <f t="shared" si="39"/>
        <v/>
      </c>
      <c r="U110" s="10"/>
    </row>
    <row r="111" spans="3:21" x14ac:dyDescent="0.25">
      <c r="C111" s="8"/>
      <c r="D111" s="8"/>
      <c r="E111" s="8"/>
      <c r="F111" s="8"/>
      <c r="G111" s="25" t="str">
        <f t="shared" si="30"/>
        <v/>
      </c>
      <c r="H111" s="8"/>
      <c r="I111" s="26" t="str">
        <f t="shared" si="31"/>
        <v/>
      </c>
      <c r="J111" s="8"/>
      <c r="K111" s="26" t="str">
        <f t="shared" si="32"/>
        <v/>
      </c>
      <c r="L111" s="8"/>
      <c r="M111" s="26" t="str">
        <f t="shared" si="33"/>
        <v/>
      </c>
      <c r="N111" s="8"/>
      <c r="O111" s="26" t="str">
        <f t="shared" si="34"/>
        <v/>
      </c>
      <c r="P111" s="23" t="str">
        <f t="shared" si="35"/>
        <v/>
      </c>
      <c r="Q111" s="23" t="str">
        <f t="shared" si="36"/>
        <v/>
      </c>
      <c r="R111" s="23" t="str">
        <f t="shared" si="37"/>
        <v/>
      </c>
      <c r="S111" s="23" t="str">
        <f t="shared" si="38"/>
        <v/>
      </c>
      <c r="T111" s="23" t="str">
        <f t="shared" si="39"/>
        <v/>
      </c>
      <c r="U111" s="10"/>
    </row>
    <row r="112" spans="3:21" x14ac:dyDescent="0.25">
      <c r="C112" s="8"/>
      <c r="D112" s="8"/>
      <c r="E112" s="8"/>
      <c r="F112" s="8"/>
      <c r="G112" s="25" t="str">
        <f t="shared" si="30"/>
        <v/>
      </c>
      <c r="H112" s="8"/>
      <c r="I112" s="26" t="str">
        <f t="shared" si="31"/>
        <v/>
      </c>
      <c r="J112" s="8"/>
      <c r="K112" s="26" t="str">
        <f t="shared" si="32"/>
        <v/>
      </c>
      <c r="L112" s="8"/>
      <c r="M112" s="26" t="str">
        <f t="shared" si="33"/>
        <v/>
      </c>
      <c r="N112" s="8"/>
      <c r="O112" s="26" t="str">
        <f t="shared" si="34"/>
        <v/>
      </c>
      <c r="P112" s="23" t="str">
        <f t="shared" si="35"/>
        <v/>
      </c>
      <c r="Q112" s="23" t="str">
        <f t="shared" si="36"/>
        <v/>
      </c>
      <c r="R112" s="23" t="str">
        <f t="shared" si="37"/>
        <v/>
      </c>
      <c r="S112" s="23" t="str">
        <f t="shared" si="38"/>
        <v/>
      </c>
      <c r="T112" s="23" t="str">
        <f t="shared" si="39"/>
        <v/>
      </c>
      <c r="U112" s="10"/>
    </row>
    <row r="113" spans="3:21" x14ac:dyDescent="0.25">
      <c r="C113" s="8"/>
      <c r="D113" s="8"/>
      <c r="E113" s="8"/>
      <c r="F113" s="8"/>
      <c r="G113" s="25" t="str">
        <f t="shared" si="30"/>
        <v/>
      </c>
      <c r="H113" s="8"/>
      <c r="I113" s="26" t="str">
        <f t="shared" si="31"/>
        <v/>
      </c>
      <c r="J113" s="8"/>
      <c r="K113" s="26" t="str">
        <f t="shared" si="32"/>
        <v/>
      </c>
      <c r="L113" s="8"/>
      <c r="M113" s="26" t="str">
        <f t="shared" si="33"/>
        <v/>
      </c>
      <c r="N113" s="8"/>
      <c r="O113" s="26" t="str">
        <f t="shared" si="34"/>
        <v/>
      </c>
      <c r="P113" s="23" t="str">
        <f t="shared" si="35"/>
        <v/>
      </c>
      <c r="Q113" s="23" t="str">
        <f t="shared" si="36"/>
        <v/>
      </c>
      <c r="R113" s="23" t="str">
        <f t="shared" si="37"/>
        <v/>
      </c>
      <c r="S113" s="23" t="str">
        <f t="shared" si="38"/>
        <v/>
      </c>
      <c r="T113" s="23" t="str">
        <f t="shared" si="39"/>
        <v/>
      </c>
      <c r="U113" s="10"/>
    </row>
    <row r="114" spans="3:21" x14ac:dyDescent="0.25">
      <c r="C114" s="8"/>
      <c r="D114" s="8"/>
      <c r="E114" s="8"/>
      <c r="F114" s="8"/>
      <c r="G114" s="25" t="str">
        <f t="shared" si="30"/>
        <v/>
      </c>
      <c r="H114" s="8"/>
      <c r="I114" s="26" t="str">
        <f t="shared" si="31"/>
        <v/>
      </c>
      <c r="J114" s="8"/>
      <c r="K114" s="26" t="str">
        <f t="shared" si="32"/>
        <v/>
      </c>
      <c r="L114" s="8"/>
      <c r="M114" s="26" t="str">
        <f t="shared" si="33"/>
        <v/>
      </c>
      <c r="N114" s="8"/>
      <c r="O114" s="26" t="str">
        <f t="shared" si="34"/>
        <v/>
      </c>
      <c r="P114" s="23" t="str">
        <f t="shared" si="35"/>
        <v/>
      </c>
      <c r="Q114" s="23" t="str">
        <f t="shared" si="36"/>
        <v/>
      </c>
      <c r="R114" s="23" t="str">
        <f t="shared" si="37"/>
        <v/>
      </c>
      <c r="S114" s="23" t="str">
        <f t="shared" si="38"/>
        <v/>
      </c>
      <c r="T114" s="23" t="str">
        <f t="shared" si="39"/>
        <v/>
      </c>
      <c r="U114" s="10"/>
    </row>
    <row r="115" spans="3:21" x14ac:dyDescent="0.25">
      <c r="C115" s="8"/>
      <c r="D115" s="8"/>
      <c r="E115" s="8"/>
      <c r="F115" s="8"/>
      <c r="G115" s="25" t="str">
        <f t="shared" si="30"/>
        <v/>
      </c>
      <c r="H115" s="8"/>
      <c r="I115" s="26" t="str">
        <f t="shared" si="31"/>
        <v/>
      </c>
      <c r="J115" s="8"/>
      <c r="K115" s="26" t="str">
        <f t="shared" si="32"/>
        <v/>
      </c>
      <c r="L115" s="8"/>
      <c r="M115" s="26" t="str">
        <f t="shared" si="33"/>
        <v/>
      </c>
      <c r="N115" s="8"/>
      <c r="O115" s="26" t="str">
        <f t="shared" si="34"/>
        <v/>
      </c>
      <c r="P115" s="23" t="str">
        <f t="shared" si="35"/>
        <v/>
      </c>
      <c r="Q115" s="23" t="str">
        <f t="shared" si="36"/>
        <v/>
      </c>
      <c r="R115" s="23" t="str">
        <f t="shared" si="37"/>
        <v/>
      </c>
      <c r="S115" s="23" t="str">
        <f t="shared" si="38"/>
        <v/>
      </c>
      <c r="T115" s="23" t="str">
        <f t="shared" si="39"/>
        <v/>
      </c>
      <c r="U115" s="10"/>
    </row>
    <row r="116" spans="3:21" x14ac:dyDescent="0.25">
      <c r="C116" s="8"/>
      <c r="D116" s="8"/>
      <c r="E116" s="8"/>
      <c r="F116" s="8"/>
      <c r="G116" s="25" t="str">
        <f t="shared" si="30"/>
        <v/>
      </c>
      <c r="H116" s="8"/>
      <c r="I116" s="26" t="str">
        <f t="shared" si="31"/>
        <v/>
      </c>
      <c r="J116" s="8"/>
      <c r="K116" s="26" t="str">
        <f t="shared" si="32"/>
        <v/>
      </c>
      <c r="L116" s="8"/>
      <c r="M116" s="26" t="str">
        <f t="shared" si="33"/>
        <v/>
      </c>
      <c r="N116" s="8"/>
      <c r="O116" s="26" t="str">
        <f t="shared" si="34"/>
        <v/>
      </c>
      <c r="P116" s="23" t="str">
        <f t="shared" si="35"/>
        <v/>
      </c>
      <c r="Q116" s="23" t="str">
        <f t="shared" si="36"/>
        <v/>
      </c>
      <c r="R116" s="23" t="str">
        <f t="shared" si="37"/>
        <v/>
      </c>
      <c r="S116" s="23" t="str">
        <f t="shared" si="38"/>
        <v/>
      </c>
      <c r="T116" s="23" t="str">
        <f t="shared" si="39"/>
        <v/>
      </c>
      <c r="U116" s="10"/>
    </row>
    <row r="117" spans="3:21" x14ac:dyDescent="0.25">
      <c r="C117" s="8"/>
      <c r="D117" s="8"/>
      <c r="E117" s="8"/>
      <c r="F117" s="8"/>
      <c r="G117" s="25" t="str">
        <f t="shared" si="30"/>
        <v/>
      </c>
      <c r="H117" s="8"/>
      <c r="I117" s="26" t="str">
        <f t="shared" si="31"/>
        <v/>
      </c>
      <c r="J117" s="8"/>
      <c r="K117" s="26" t="str">
        <f t="shared" si="32"/>
        <v/>
      </c>
      <c r="L117" s="8"/>
      <c r="M117" s="26" t="str">
        <f t="shared" si="33"/>
        <v/>
      </c>
      <c r="N117" s="8"/>
      <c r="O117" s="26" t="str">
        <f t="shared" si="34"/>
        <v/>
      </c>
      <c r="P117" s="23" t="str">
        <f t="shared" si="35"/>
        <v/>
      </c>
      <c r="Q117" s="23" t="str">
        <f t="shared" si="36"/>
        <v/>
      </c>
      <c r="R117" s="23" t="str">
        <f t="shared" si="37"/>
        <v/>
      </c>
      <c r="S117" s="23" t="str">
        <f t="shared" si="38"/>
        <v/>
      </c>
      <c r="T117" s="23" t="str">
        <f t="shared" si="39"/>
        <v/>
      </c>
      <c r="U117" s="10"/>
    </row>
    <row r="118" spans="3:21" x14ac:dyDescent="0.25">
      <c r="C118" s="8"/>
      <c r="D118" s="8"/>
      <c r="E118" s="8"/>
      <c r="F118" s="8"/>
      <c r="G118" s="25" t="str">
        <f t="shared" si="30"/>
        <v/>
      </c>
      <c r="H118" s="8"/>
      <c r="I118" s="26" t="str">
        <f t="shared" si="31"/>
        <v/>
      </c>
      <c r="J118" s="8"/>
      <c r="K118" s="26" t="str">
        <f t="shared" si="32"/>
        <v/>
      </c>
      <c r="L118" s="8"/>
      <c r="M118" s="26" t="str">
        <f t="shared" si="33"/>
        <v/>
      </c>
      <c r="N118" s="8"/>
      <c r="O118" s="26" t="str">
        <f t="shared" si="34"/>
        <v/>
      </c>
      <c r="P118" s="23" t="str">
        <f t="shared" si="35"/>
        <v/>
      </c>
      <c r="Q118" s="23" t="str">
        <f t="shared" si="36"/>
        <v/>
      </c>
      <c r="R118" s="23" t="str">
        <f t="shared" si="37"/>
        <v/>
      </c>
      <c r="S118" s="23" t="str">
        <f t="shared" si="38"/>
        <v/>
      </c>
      <c r="T118" s="23" t="str">
        <f t="shared" si="39"/>
        <v/>
      </c>
      <c r="U118" s="10"/>
    </row>
    <row r="119" spans="3:21" x14ac:dyDescent="0.25">
      <c r="C119" s="8"/>
      <c r="D119" s="8"/>
      <c r="E119" s="8"/>
      <c r="F119" s="8"/>
      <c r="G119" s="25" t="str">
        <f t="shared" si="30"/>
        <v/>
      </c>
      <c r="H119" s="8"/>
      <c r="I119" s="26" t="str">
        <f t="shared" si="31"/>
        <v/>
      </c>
      <c r="J119" s="8"/>
      <c r="K119" s="26" t="str">
        <f t="shared" si="32"/>
        <v/>
      </c>
      <c r="L119" s="8"/>
      <c r="M119" s="26" t="str">
        <f t="shared" si="33"/>
        <v/>
      </c>
      <c r="N119" s="8"/>
      <c r="O119" s="26" t="str">
        <f t="shared" si="34"/>
        <v/>
      </c>
      <c r="P119" s="23" t="str">
        <f t="shared" si="35"/>
        <v/>
      </c>
      <c r="Q119" s="23" t="str">
        <f t="shared" si="36"/>
        <v/>
      </c>
      <c r="R119" s="23" t="str">
        <f t="shared" si="37"/>
        <v/>
      </c>
      <c r="S119" s="23" t="str">
        <f t="shared" si="38"/>
        <v/>
      </c>
      <c r="T119" s="23" t="str">
        <f t="shared" si="39"/>
        <v/>
      </c>
      <c r="U119" s="10"/>
    </row>
    <row r="120" spans="3:21" x14ac:dyDescent="0.25">
      <c r="C120" s="8"/>
      <c r="D120" s="8"/>
      <c r="E120" s="8"/>
      <c r="F120" s="8"/>
      <c r="G120" s="25" t="str">
        <f t="shared" si="30"/>
        <v/>
      </c>
      <c r="H120" s="8"/>
      <c r="I120" s="26" t="str">
        <f t="shared" si="31"/>
        <v/>
      </c>
      <c r="J120" s="8"/>
      <c r="K120" s="26" t="str">
        <f t="shared" si="32"/>
        <v/>
      </c>
      <c r="L120" s="8"/>
      <c r="M120" s="26" t="str">
        <f t="shared" si="33"/>
        <v/>
      </c>
      <c r="N120" s="8"/>
      <c r="O120" s="26" t="str">
        <f t="shared" si="34"/>
        <v/>
      </c>
      <c r="P120" s="23" t="str">
        <f t="shared" si="35"/>
        <v/>
      </c>
      <c r="Q120" s="23" t="str">
        <f t="shared" si="36"/>
        <v/>
      </c>
      <c r="R120" s="23" t="str">
        <f t="shared" si="37"/>
        <v/>
      </c>
      <c r="S120" s="23" t="str">
        <f t="shared" si="38"/>
        <v/>
      </c>
      <c r="T120" s="23" t="str">
        <f t="shared" si="39"/>
        <v/>
      </c>
      <c r="U120" s="10"/>
    </row>
    <row r="121" spans="3:21" x14ac:dyDescent="0.25">
      <c r="C121" s="8"/>
      <c r="D121" s="8"/>
      <c r="E121" s="8"/>
      <c r="F121" s="8"/>
      <c r="G121" s="25" t="str">
        <f t="shared" si="30"/>
        <v/>
      </c>
      <c r="H121" s="8"/>
      <c r="I121" s="26" t="str">
        <f t="shared" si="31"/>
        <v/>
      </c>
      <c r="J121" s="8"/>
      <c r="K121" s="26" t="str">
        <f t="shared" si="32"/>
        <v/>
      </c>
      <c r="L121" s="8"/>
      <c r="M121" s="26" t="str">
        <f t="shared" si="33"/>
        <v/>
      </c>
      <c r="N121" s="8"/>
      <c r="O121" s="26" t="str">
        <f t="shared" si="34"/>
        <v/>
      </c>
      <c r="P121" s="23" t="str">
        <f t="shared" si="35"/>
        <v/>
      </c>
      <c r="Q121" s="23" t="str">
        <f t="shared" si="36"/>
        <v/>
      </c>
      <c r="R121" s="23" t="str">
        <f t="shared" si="37"/>
        <v/>
      </c>
      <c r="S121" s="23" t="str">
        <f t="shared" si="38"/>
        <v/>
      </c>
      <c r="T121" s="23" t="str">
        <f t="shared" si="39"/>
        <v/>
      </c>
      <c r="U121" s="10"/>
    </row>
    <row r="122" spans="3:21" x14ac:dyDescent="0.25">
      <c r="C122" s="8"/>
      <c r="D122" s="8"/>
      <c r="E122" s="8"/>
      <c r="F122" s="8"/>
      <c r="G122" s="25" t="str">
        <f t="shared" si="30"/>
        <v/>
      </c>
      <c r="H122" s="8"/>
      <c r="I122" s="26" t="str">
        <f t="shared" si="31"/>
        <v/>
      </c>
      <c r="J122" s="8"/>
      <c r="K122" s="26" t="str">
        <f t="shared" si="32"/>
        <v/>
      </c>
      <c r="L122" s="8"/>
      <c r="M122" s="26" t="str">
        <f t="shared" si="33"/>
        <v/>
      </c>
      <c r="N122" s="8"/>
      <c r="O122" s="26" t="str">
        <f t="shared" si="34"/>
        <v/>
      </c>
      <c r="P122" s="23" t="str">
        <f t="shared" si="35"/>
        <v/>
      </c>
      <c r="Q122" s="23" t="str">
        <f t="shared" si="36"/>
        <v/>
      </c>
      <c r="R122" s="23" t="str">
        <f t="shared" si="37"/>
        <v/>
      </c>
      <c r="S122" s="23" t="str">
        <f t="shared" si="38"/>
        <v/>
      </c>
      <c r="T122" s="23" t="str">
        <f t="shared" si="39"/>
        <v/>
      </c>
      <c r="U122" s="10"/>
    </row>
    <row r="123" spans="3:21" x14ac:dyDescent="0.25">
      <c r="C123" s="8"/>
      <c r="D123" s="8"/>
      <c r="E123" s="8"/>
      <c r="F123" s="8"/>
      <c r="G123" s="25" t="str">
        <f t="shared" si="30"/>
        <v/>
      </c>
      <c r="H123" s="8"/>
      <c r="I123" s="26" t="str">
        <f t="shared" si="31"/>
        <v/>
      </c>
      <c r="J123" s="8"/>
      <c r="K123" s="26" t="str">
        <f t="shared" si="32"/>
        <v/>
      </c>
      <c r="L123" s="8"/>
      <c r="M123" s="26" t="str">
        <f t="shared" si="33"/>
        <v/>
      </c>
      <c r="N123" s="8"/>
      <c r="O123" s="26" t="str">
        <f t="shared" si="34"/>
        <v/>
      </c>
      <c r="P123" s="23" t="str">
        <f t="shared" si="35"/>
        <v/>
      </c>
      <c r="Q123" s="23" t="str">
        <f t="shared" si="36"/>
        <v/>
      </c>
      <c r="R123" s="23" t="str">
        <f t="shared" si="37"/>
        <v/>
      </c>
      <c r="S123" s="23" t="str">
        <f t="shared" si="38"/>
        <v/>
      </c>
      <c r="T123" s="23" t="str">
        <f t="shared" si="39"/>
        <v/>
      </c>
      <c r="U123" s="10"/>
    </row>
    <row r="124" spans="3:21" x14ac:dyDescent="0.25">
      <c r="C124" s="8"/>
      <c r="D124" s="8"/>
      <c r="E124" s="8"/>
      <c r="F124" s="8"/>
      <c r="G124" s="25" t="str">
        <f t="shared" si="30"/>
        <v/>
      </c>
      <c r="H124" s="8"/>
      <c r="I124" s="26" t="str">
        <f t="shared" si="31"/>
        <v/>
      </c>
      <c r="J124" s="8"/>
      <c r="K124" s="26" t="str">
        <f t="shared" si="32"/>
        <v/>
      </c>
      <c r="L124" s="8"/>
      <c r="M124" s="26" t="str">
        <f t="shared" si="33"/>
        <v/>
      </c>
      <c r="N124" s="8"/>
      <c r="O124" s="26" t="str">
        <f t="shared" si="34"/>
        <v/>
      </c>
      <c r="P124" s="23" t="str">
        <f t="shared" si="35"/>
        <v/>
      </c>
      <c r="Q124" s="23" t="str">
        <f t="shared" si="36"/>
        <v/>
      </c>
      <c r="R124" s="23" t="str">
        <f t="shared" si="37"/>
        <v/>
      </c>
      <c r="S124" s="23" t="str">
        <f t="shared" si="38"/>
        <v/>
      </c>
      <c r="T124" s="23" t="str">
        <f t="shared" si="39"/>
        <v/>
      </c>
      <c r="U124" s="10"/>
    </row>
    <row r="125" spans="3:21" x14ac:dyDescent="0.25">
      <c r="C125" s="8"/>
      <c r="D125" s="8"/>
      <c r="E125" s="8"/>
      <c r="F125" s="8"/>
      <c r="G125" s="25" t="str">
        <f t="shared" si="30"/>
        <v/>
      </c>
      <c r="H125" s="8"/>
      <c r="I125" s="26" t="str">
        <f t="shared" si="31"/>
        <v/>
      </c>
      <c r="J125" s="8"/>
      <c r="K125" s="26" t="str">
        <f t="shared" si="32"/>
        <v/>
      </c>
      <c r="L125" s="8"/>
      <c r="M125" s="26" t="str">
        <f t="shared" si="33"/>
        <v/>
      </c>
      <c r="N125" s="8"/>
      <c r="O125" s="26" t="str">
        <f t="shared" si="34"/>
        <v/>
      </c>
      <c r="P125" s="23" t="str">
        <f t="shared" si="35"/>
        <v/>
      </c>
      <c r="Q125" s="23" t="str">
        <f t="shared" si="36"/>
        <v/>
      </c>
      <c r="R125" s="23" t="str">
        <f t="shared" si="37"/>
        <v/>
      </c>
      <c r="S125" s="23" t="str">
        <f t="shared" si="38"/>
        <v/>
      </c>
      <c r="T125" s="23" t="str">
        <f t="shared" si="39"/>
        <v/>
      </c>
      <c r="U125" s="10"/>
    </row>
    <row r="126" spans="3:21" x14ac:dyDescent="0.25">
      <c r="C126" s="8"/>
      <c r="D126" s="8"/>
      <c r="E126" s="8"/>
      <c r="F126" s="8"/>
      <c r="G126" s="25" t="str">
        <f t="shared" si="30"/>
        <v/>
      </c>
      <c r="H126" s="8"/>
      <c r="I126" s="26" t="str">
        <f t="shared" si="31"/>
        <v/>
      </c>
      <c r="J126" s="8"/>
      <c r="K126" s="26" t="str">
        <f t="shared" si="32"/>
        <v/>
      </c>
      <c r="L126" s="8"/>
      <c r="M126" s="26" t="str">
        <f t="shared" si="33"/>
        <v/>
      </c>
      <c r="N126" s="8"/>
      <c r="O126" s="26" t="str">
        <f t="shared" si="34"/>
        <v/>
      </c>
      <c r="P126" s="23" t="str">
        <f t="shared" si="35"/>
        <v/>
      </c>
      <c r="Q126" s="23" t="str">
        <f t="shared" si="36"/>
        <v/>
      </c>
      <c r="R126" s="23" t="str">
        <f t="shared" si="37"/>
        <v/>
      </c>
      <c r="S126" s="23" t="str">
        <f t="shared" si="38"/>
        <v/>
      </c>
      <c r="T126" s="23" t="str">
        <f t="shared" si="39"/>
        <v/>
      </c>
      <c r="U126" s="10"/>
    </row>
    <row r="127" spans="3:21" x14ac:dyDescent="0.25">
      <c r="C127" s="8"/>
      <c r="D127" s="8"/>
      <c r="E127" s="8"/>
      <c r="F127" s="8"/>
      <c r="G127" s="25" t="str">
        <f t="shared" si="30"/>
        <v/>
      </c>
      <c r="H127" s="8"/>
      <c r="I127" s="26" t="str">
        <f t="shared" si="31"/>
        <v/>
      </c>
      <c r="J127" s="8"/>
      <c r="K127" s="26" t="str">
        <f t="shared" si="32"/>
        <v/>
      </c>
      <c r="L127" s="8"/>
      <c r="M127" s="26" t="str">
        <f t="shared" si="33"/>
        <v/>
      </c>
      <c r="N127" s="8"/>
      <c r="O127" s="26" t="str">
        <f t="shared" si="34"/>
        <v/>
      </c>
      <c r="P127" s="23" t="str">
        <f t="shared" si="35"/>
        <v/>
      </c>
      <c r="Q127" s="23" t="str">
        <f t="shared" si="36"/>
        <v/>
      </c>
      <c r="R127" s="23" t="str">
        <f t="shared" si="37"/>
        <v/>
      </c>
      <c r="S127" s="23" t="str">
        <f t="shared" si="38"/>
        <v/>
      </c>
      <c r="T127" s="23" t="str">
        <f t="shared" si="39"/>
        <v/>
      </c>
      <c r="U127" s="10"/>
    </row>
    <row r="128" spans="3:21" x14ac:dyDescent="0.25">
      <c r="C128" s="8"/>
      <c r="D128" s="8"/>
      <c r="E128" s="8"/>
      <c r="F128" s="8"/>
      <c r="G128" s="25" t="str">
        <f t="shared" si="30"/>
        <v/>
      </c>
      <c r="H128" s="8"/>
      <c r="I128" s="26" t="str">
        <f t="shared" si="31"/>
        <v/>
      </c>
      <c r="J128" s="8"/>
      <c r="K128" s="26" t="str">
        <f t="shared" si="32"/>
        <v/>
      </c>
      <c r="L128" s="8"/>
      <c r="M128" s="26" t="str">
        <f t="shared" si="33"/>
        <v/>
      </c>
      <c r="N128" s="8"/>
      <c r="O128" s="26" t="str">
        <f t="shared" si="34"/>
        <v/>
      </c>
      <c r="P128" s="23" t="str">
        <f t="shared" si="35"/>
        <v/>
      </c>
      <c r="Q128" s="23" t="str">
        <f t="shared" si="36"/>
        <v/>
      </c>
      <c r="R128" s="23" t="str">
        <f t="shared" si="37"/>
        <v/>
      </c>
      <c r="S128" s="23" t="str">
        <f t="shared" si="38"/>
        <v/>
      </c>
      <c r="T128" s="23" t="str">
        <f t="shared" si="39"/>
        <v/>
      </c>
      <c r="U128" s="10"/>
    </row>
    <row r="129" spans="3:21" x14ac:dyDescent="0.25">
      <c r="C129" s="8"/>
      <c r="D129" s="8"/>
      <c r="E129" s="8"/>
      <c r="F129" s="8"/>
      <c r="G129" s="25" t="str">
        <f t="shared" si="30"/>
        <v/>
      </c>
      <c r="H129" s="8"/>
      <c r="I129" s="26" t="str">
        <f t="shared" si="31"/>
        <v/>
      </c>
      <c r="J129" s="8"/>
      <c r="K129" s="26" t="str">
        <f t="shared" si="32"/>
        <v/>
      </c>
      <c r="L129" s="8"/>
      <c r="M129" s="26" t="str">
        <f t="shared" si="33"/>
        <v/>
      </c>
      <c r="N129" s="8"/>
      <c r="O129" s="26" t="str">
        <f t="shared" si="34"/>
        <v/>
      </c>
      <c r="P129" s="23" t="str">
        <f t="shared" si="35"/>
        <v/>
      </c>
      <c r="Q129" s="23" t="str">
        <f t="shared" si="36"/>
        <v/>
      </c>
      <c r="R129" s="23" t="str">
        <f t="shared" si="37"/>
        <v/>
      </c>
      <c r="S129" s="23" t="str">
        <f t="shared" si="38"/>
        <v/>
      </c>
      <c r="T129" s="23" t="str">
        <f t="shared" si="39"/>
        <v/>
      </c>
      <c r="U129" s="10"/>
    </row>
    <row r="130" spans="3:21" x14ac:dyDescent="0.25">
      <c r="C130" s="8"/>
      <c r="D130" s="8"/>
      <c r="E130" s="8"/>
      <c r="F130" s="8"/>
      <c r="G130" s="25" t="str">
        <f t="shared" si="30"/>
        <v/>
      </c>
      <c r="H130" s="8"/>
      <c r="I130" s="26" t="str">
        <f t="shared" si="31"/>
        <v/>
      </c>
      <c r="J130" s="8"/>
      <c r="K130" s="26" t="str">
        <f t="shared" si="32"/>
        <v/>
      </c>
      <c r="L130" s="8"/>
      <c r="M130" s="26" t="str">
        <f t="shared" si="33"/>
        <v/>
      </c>
      <c r="N130" s="8"/>
      <c r="O130" s="26" t="str">
        <f t="shared" si="34"/>
        <v/>
      </c>
      <c r="P130" s="23" t="str">
        <f t="shared" si="35"/>
        <v/>
      </c>
      <c r="Q130" s="23" t="str">
        <f t="shared" si="36"/>
        <v/>
      </c>
      <c r="R130" s="23" t="str">
        <f t="shared" si="37"/>
        <v/>
      </c>
      <c r="S130" s="23" t="str">
        <f t="shared" si="38"/>
        <v/>
      </c>
      <c r="T130" s="23" t="str">
        <f t="shared" si="39"/>
        <v/>
      </c>
      <c r="U130" s="10"/>
    </row>
    <row r="131" spans="3:21" x14ac:dyDescent="0.25">
      <c r="C131" s="8"/>
      <c r="D131" s="8"/>
      <c r="E131" s="8"/>
      <c r="F131" s="8"/>
      <c r="G131" s="25" t="str">
        <f t="shared" si="30"/>
        <v/>
      </c>
      <c r="H131" s="8"/>
      <c r="I131" s="26" t="str">
        <f t="shared" si="31"/>
        <v/>
      </c>
      <c r="J131" s="8"/>
      <c r="K131" s="26" t="str">
        <f t="shared" si="32"/>
        <v/>
      </c>
      <c r="L131" s="8"/>
      <c r="M131" s="26" t="str">
        <f t="shared" si="33"/>
        <v/>
      </c>
      <c r="N131" s="8"/>
      <c r="O131" s="26" t="str">
        <f t="shared" si="34"/>
        <v/>
      </c>
      <c r="P131" s="23" t="str">
        <f t="shared" si="35"/>
        <v/>
      </c>
      <c r="Q131" s="23" t="str">
        <f t="shared" si="36"/>
        <v/>
      </c>
      <c r="R131" s="23" t="str">
        <f t="shared" si="37"/>
        <v/>
      </c>
      <c r="S131" s="23" t="str">
        <f t="shared" si="38"/>
        <v/>
      </c>
      <c r="T131" s="23" t="str">
        <f t="shared" si="39"/>
        <v/>
      </c>
      <c r="U131" s="10"/>
    </row>
    <row r="132" spans="3:21" x14ac:dyDescent="0.25">
      <c r="C132" s="8"/>
      <c r="D132" s="8"/>
      <c r="E132" s="8"/>
      <c r="F132" s="8"/>
      <c r="G132" s="25" t="str">
        <f t="shared" si="30"/>
        <v/>
      </c>
      <c r="H132" s="8"/>
      <c r="I132" s="26" t="str">
        <f t="shared" si="31"/>
        <v/>
      </c>
      <c r="J132" s="8"/>
      <c r="K132" s="26" t="str">
        <f t="shared" si="32"/>
        <v/>
      </c>
      <c r="L132" s="8"/>
      <c r="M132" s="26" t="str">
        <f t="shared" si="33"/>
        <v/>
      </c>
      <c r="N132" s="8"/>
      <c r="O132" s="26" t="str">
        <f t="shared" si="34"/>
        <v/>
      </c>
      <c r="P132" s="23" t="str">
        <f t="shared" ref="P132:P195" si="40">IF(COUNT(F132:O132)=0,"",SUM(F132:O132))</f>
        <v/>
      </c>
      <c r="Q132" s="23" t="str">
        <f t="shared" ref="Q132:Q195" si="41">IF(P132="","",P132/500*12)</f>
        <v/>
      </c>
      <c r="R132" s="23" t="str">
        <f t="shared" si="37"/>
        <v/>
      </c>
      <c r="S132" s="23" t="str">
        <f t="shared" si="38"/>
        <v/>
      </c>
      <c r="T132" s="23" t="str">
        <f t="shared" si="39"/>
        <v/>
      </c>
      <c r="U132" s="10"/>
    </row>
    <row r="133" spans="3:21" x14ac:dyDescent="0.25">
      <c r="C133" s="8"/>
      <c r="D133" s="8"/>
      <c r="E133" s="8"/>
      <c r="F133" s="8"/>
      <c r="G133" s="25" t="str">
        <f t="shared" si="30"/>
        <v/>
      </c>
      <c r="H133" s="8"/>
      <c r="I133" s="26" t="str">
        <f t="shared" si="31"/>
        <v/>
      </c>
      <c r="J133" s="8"/>
      <c r="K133" s="26" t="str">
        <f t="shared" si="32"/>
        <v/>
      </c>
      <c r="L133" s="8"/>
      <c r="M133" s="26" t="str">
        <f t="shared" si="33"/>
        <v/>
      </c>
      <c r="N133" s="8"/>
      <c r="O133" s="26" t="str">
        <f t="shared" si="34"/>
        <v/>
      </c>
      <c r="P133" s="23" t="str">
        <f t="shared" si="40"/>
        <v/>
      </c>
      <c r="Q133" s="23" t="str">
        <f t="shared" si="41"/>
        <v/>
      </c>
      <c r="R133" s="23" t="str">
        <f t="shared" si="37"/>
        <v/>
      </c>
      <c r="S133" s="23" t="str">
        <f t="shared" si="38"/>
        <v/>
      </c>
      <c r="T133" s="23" t="str">
        <f t="shared" si="39"/>
        <v/>
      </c>
      <c r="U133" s="10"/>
    </row>
    <row r="134" spans="3:21" x14ac:dyDescent="0.25">
      <c r="C134" s="8"/>
      <c r="D134" s="8"/>
      <c r="E134" s="8"/>
      <c r="F134" s="8"/>
      <c r="G134" s="25" t="str">
        <f t="shared" si="30"/>
        <v/>
      </c>
      <c r="H134" s="8"/>
      <c r="I134" s="26" t="str">
        <f t="shared" si="31"/>
        <v/>
      </c>
      <c r="J134" s="8"/>
      <c r="K134" s="26" t="str">
        <f t="shared" si="32"/>
        <v/>
      </c>
      <c r="L134" s="8"/>
      <c r="M134" s="26" t="str">
        <f t="shared" si="33"/>
        <v/>
      </c>
      <c r="N134" s="8"/>
      <c r="O134" s="26" t="str">
        <f t="shared" si="34"/>
        <v/>
      </c>
      <c r="P134" s="23" t="str">
        <f t="shared" si="40"/>
        <v/>
      </c>
      <c r="Q134" s="23" t="str">
        <f t="shared" si="41"/>
        <v/>
      </c>
      <c r="R134" s="23" t="str">
        <f t="shared" si="37"/>
        <v/>
      </c>
      <c r="S134" s="23" t="str">
        <f t="shared" si="38"/>
        <v/>
      </c>
      <c r="T134" s="23" t="str">
        <f t="shared" si="39"/>
        <v/>
      </c>
      <c r="U134" s="10"/>
    </row>
    <row r="135" spans="3:21" x14ac:dyDescent="0.25">
      <c r="C135" s="8"/>
      <c r="D135" s="8"/>
      <c r="E135" s="8"/>
      <c r="F135" s="8"/>
      <c r="G135" s="25" t="str">
        <f t="shared" si="30"/>
        <v/>
      </c>
      <c r="H135" s="8"/>
      <c r="I135" s="26" t="str">
        <f t="shared" si="31"/>
        <v/>
      </c>
      <c r="J135" s="8"/>
      <c r="K135" s="26" t="str">
        <f t="shared" si="32"/>
        <v/>
      </c>
      <c r="L135" s="8"/>
      <c r="M135" s="26" t="str">
        <f t="shared" si="33"/>
        <v/>
      </c>
      <c r="N135" s="8"/>
      <c r="O135" s="26" t="str">
        <f t="shared" si="34"/>
        <v/>
      </c>
      <c r="P135" s="23" t="str">
        <f t="shared" si="40"/>
        <v/>
      </c>
      <c r="Q135" s="23" t="str">
        <f t="shared" si="41"/>
        <v/>
      </c>
      <c r="R135" s="23" t="str">
        <f t="shared" si="37"/>
        <v/>
      </c>
      <c r="S135" s="23" t="str">
        <f t="shared" si="38"/>
        <v/>
      </c>
      <c r="T135" s="23" t="str">
        <f t="shared" si="39"/>
        <v/>
      </c>
      <c r="U135" s="10"/>
    </row>
    <row r="136" spans="3:21" x14ac:dyDescent="0.25">
      <c r="C136" s="8"/>
      <c r="D136" s="8"/>
      <c r="E136" s="8"/>
      <c r="F136" s="8"/>
      <c r="G136" s="25" t="str">
        <f t="shared" si="30"/>
        <v/>
      </c>
      <c r="H136" s="8"/>
      <c r="I136" s="26" t="str">
        <f t="shared" si="31"/>
        <v/>
      </c>
      <c r="J136" s="8"/>
      <c r="K136" s="26" t="str">
        <f t="shared" si="32"/>
        <v/>
      </c>
      <c r="L136" s="8"/>
      <c r="M136" s="26" t="str">
        <f t="shared" si="33"/>
        <v/>
      </c>
      <c r="N136" s="8"/>
      <c r="O136" s="26" t="str">
        <f t="shared" si="34"/>
        <v/>
      </c>
      <c r="P136" s="23" t="str">
        <f t="shared" si="40"/>
        <v/>
      </c>
      <c r="Q136" s="23" t="str">
        <f t="shared" si="41"/>
        <v/>
      </c>
      <c r="R136" s="23" t="str">
        <f t="shared" si="37"/>
        <v/>
      </c>
      <c r="S136" s="23" t="str">
        <f t="shared" si="38"/>
        <v/>
      </c>
      <c r="T136" s="23" t="str">
        <f t="shared" si="39"/>
        <v/>
      </c>
      <c r="U136" s="10"/>
    </row>
    <row r="137" spans="3:21" x14ac:dyDescent="0.25">
      <c r="C137" s="8"/>
      <c r="D137" s="8"/>
      <c r="E137" s="8"/>
      <c r="F137" s="8"/>
      <c r="G137" s="25" t="str">
        <f t="shared" si="30"/>
        <v/>
      </c>
      <c r="H137" s="8"/>
      <c r="I137" s="26" t="str">
        <f t="shared" si="31"/>
        <v/>
      </c>
      <c r="J137" s="8"/>
      <c r="K137" s="26" t="str">
        <f t="shared" si="32"/>
        <v/>
      </c>
      <c r="L137" s="8"/>
      <c r="M137" s="26" t="str">
        <f t="shared" si="33"/>
        <v/>
      </c>
      <c r="N137" s="8"/>
      <c r="O137" s="26" t="str">
        <f t="shared" si="34"/>
        <v/>
      </c>
      <c r="P137" s="23" t="str">
        <f t="shared" si="40"/>
        <v/>
      </c>
      <c r="Q137" s="23" t="str">
        <f t="shared" si="41"/>
        <v/>
      </c>
      <c r="R137" s="23" t="str">
        <f t="shared" si="37"/>
        <v/>
      </c>
      <c r="S137" s="23" t="str">
        <f t="shared" si="38"/>
        <v/>
      </c>
      <c r="T137" s="23" t="str">
        <f t="shared" si="39"/>
        <v/>
      </c>
      <c r="U137" s="10"/>
    </row>
    <row r="138" spans="3:21" x14ac:dyDescent="0.25">
      <c r="C138" s="8"/>
      <c r="D138" s="8"/>
      <c r="E138" s="8"/>
      <c r="F138" s="8"/>
      <c r="G138" s="25" t="str">
        <f t="shared" si="30"/>
        <v/>
      </c>
      <c r="H138" s="8"/>
      <c r="I138" s="26" t="str">
        <f t="shared" si="31"/>
        <v/>
      </c>
      <c r="J138" s="8"/>
      <c r="K138" s="26" t="str">
        <f t="shared" si="32"/>
        <v/>
      </c>
      <c r="L138" s="8"/>
      <c r="M138" s="26" t="str">
        <f t="shared" si="33"/>
        <v/>
      </c>
      <c r="N138" s="8"/>
      <c r="O138" s="26" t="str">
        <f t="shared" si="34"/>
        <v/>
      </c>
      <c r="P138" s="23" t="str">
        <f t="shared" si="40"/>
        <v/>
      </c>
      <c r="Q138" s="23" t="str">
        <f t="shared" si="41"/>
        <v/>
      </c>
      <c r="R138" s="23" t="str">
        <f t="shared" si="37"/>
        <v/>
      </c>
      <c r="S138" s="23" t="str">
        <f t="shared" si="38"/>
        <v/>
      </c>
      <c r="T138" s="23" t="str">
        <f t="shared" si="39"/>
        <v/>
      </c>
      <c r="U138" s="10"/>
    </row>
    <row r="139" spans="3:21" x14ac:dyDescent="0.25">
      <c r="C139" s="8"/>
      <c r="D139" s="8"/>
      <c r="E139" s="8"/>
      <c r="F139" s="8"/>
      <c r="G139" s="25" t="str">
        <f t="shared" si="30"/>
        <v/>
      </c>
      <c r="H139" s="8"/>
      <c r="I139" s="26" t="str">
        <f t="shared" si="31"/>
        <v/>
      </c>
      <c r="J139" s="8"/>
      <c r="K139" s="26" t="str">
        <f t="shared" si="32"/>
        <v/>
      </c>
      <c r="L139" s="8"/>
      <c r="M139" s="26" t="str">
        <f t="shared" si="33"/>
        <v/>
      </c>
      <c r="N139" s="8"/>
      <c r="O139" s="26" t="str">
        <f t="shared" si="34"/>
        <v/>
      </c>
      <c r="P139" s="23" t="str">
        <f t="shared" si="40"/>
        <v/>
      </c>
      <c r="Q139" s="23" t="str">
        <f t="shared" si="41"/>
        <v/>
      </c>
      <c r="R139" s="23" t="str">
        <f t="shared" si="37"/>
        <v/>
      </c>
      <c r="S139" s="23" t="str">
        <f t="shared" si="38"/>
        <v/>
      </c>
      <c r="T139" s="23" t="str">
        <f t="shared" si="39"/>
        <v/>
      </c>
      <c r="U139" s="10"/>
    </row>
    <row r="140" spans="3:21" x14ac:dyDescent="0.25">
      <c r="C140" s="8"/>
      <c r="D140" s="8"/>
      <c r="E140" s="8"/>
      <c r="F140" s="8"/>
      <c r="G140" s="25" t="str">
        <f t="shared" si="30"/>
        <v/>
      </c>
      <c r="H140" s="8"/>
      <c r="I140" s="26" t="str">
        <f t="shared" si="31"/>
        <v/>
      </c>
      <c r="J140" s="8"/>
      <c r="K140" s="26" t="str">
        <f t="shared" si="32"/>
        <v/>
      </c>
      <c r="L140" s="8"/>
      <c r="M140" s="26" t="str">
        <f t="shared" si="33"/>
        <v/>
      </c>
      <c r="N140" s="8"/>
      <c r="O140" s="26" t="str">
        <f t="shared" si="34"/>
        <v/>
      </c>
      <c r="P140" s="23" t="str">
        <f t="shared" si="40"/>
        <v/>
      </c>
      <c r="Q140" s="23" t="str">
        <f t="shared" si="41"/>
        <v/>
      </c>
      <c r="R140" s="23" t="str">
        <f t="shared" si="37"/>
        <v/>
      </c>
      <c r="S140" s="23" t="str">
        <f t="shared" si="38"/>
        <v/>
      </c>
      <c r="T140" s="23" t="str">
        <f t="shared" si="39"/>
        <v/>
      </c>
      <c r="U140" s="10"/>
    </row>
    <row r="141" spans="3:21" x14ac:dyDescent="0.25">
      <c r="C141" s="8"/>
      <c r="D141" s="8"/>
      <c r="E141" s="8"/>
      <c r="F141" s="8"/>
      <c r="G141" s="25" t="str">
        <f t="shared" si="30"/>
        <v/>
      </c>
      <c r="H141" s="8"/>
      <c r="I141" s="26" t="str">
        <f t="shared" si="31"/>
        <v/>
      </c>
      <c r="J141" s="8"/>
      <c r="K141" s="26" t="str">
        <f t="shared" si="32"/>
        <v/>
      </c>
      <c r="L141" s="8"/>
      <c r="M141" s="26" t="str">
        <f t="shared" si="33"/>
        <v/>
      </c>
      <c r="N141" s="8"/>
      <c r="O141" s="26" t="str">
        <f t="shared" si="34"/>
        <v/>
      </c>
      <c r="P141" s="23" t="str">
        <f t="shared" si="40"/>
        <v/>
      </c>
      <c r="Q141" s="23" t="str">
        <f t="shared" si="41"/>
        <v/>
      </c>
      <c r="R141" s="23" t="str">
        <f t="shared" si="37"/>
        <v/>
      </c>
      <c r="S141" s="23" t="str">
        <f t="shared" si="38"/>
        <v/>
      </c>
      <c r="T141" s="23" t="str">
        <f t="shared" si="39"/>
        <v/>
      </c>
      <c r="U141" s="10"/>
    </row>
    <row r="142" spans="3:21" x14ac:dyDescent="0.25">
      <c r="C142" s="8"/>
      <c r="D142" s="8"/>
      <c r="E142" s="8"/>
      <c r="F142" s="8"/>
      <c r="G142" s="25" t="str">
        <f t="shared" si="30"/>
        <v/>
      </c>
      <c r="H142" s="8"/>
      <c r="I142" s="26" t="str">
        <f t="shared" si="31"/>
        <v/>
      </c>
      <c r="J142" s="8"/>
      <c r="K142" s="26" t="str">
        <f t="shared" si="32"/>
        <v/>
      </c>
      <c r="L142" s="8"/>
      <c r="M142" s="26" t="str">
        <f t="shared" si="33"/>
        <v/>
      </c>
      <c r="N142" s="8"/>
      <c r="O142" s="26" t="str">
        <f t="shared" si="34"/>
        <v/>
      </c>
      <c r="P142" s="23" t="str">
        <f t="shared" si="40"/>
        <v/>
      </c>
      <c r="Q142" s="23" t="str">
        <f t="shared" si="41"/>
        <v/>
      </c>
      <c r="R142" s="23" t="str">
        <f t="shared" si="37"/>
        <v/>
      </c>
      <c r="S142" s="23" t="str">
        <f t="shared" si="38"/>
        <v/>
      </c>
      <c r="T142" s="23" t="str">
        <f t="shared" si="39"/>
        <v/>
      </c>
      <c r="U142" s="10"/>
    </row>
    <row r="143" spans="3:21" x14ac:dyDescent="0.25">
      <c r="C143" s="8"/>
      <c r="D143" s="8"/>
      <c r="E143" s="8"/>
      <c r="F143" s="8"/>
      <c r="G143" s="25" t="str">
        <f t="shared" si="30"/>
        <v/>
      </c>
      <c r="H143" s="8"/>
      <c r="I143" s="26" t="str">
        <f t="shared" si="31"/>
        <v/>
      </c>
      <c r="J143" s="8"/>
      <c r="K143" s="26" t="str">
        <f t="shared" si="32"/>
        <v/>
      </c>
      <c r="L143" s="8"/>
      <c r="M143" s="26" t="str">
        <f t="shared" si="33"/>
        <v/>
      </c>
      <c r="N143" s="8"/>
      <c r="O143" s="26" t="str">
        <f t="shared" si="34"/>
        <v/>
      </c>
      <c r="P143" s="23" t="str">
        <f t="shared" si="40"/>
        <v/>
      </c>
      <c r="Q143" s="23" t="str">
        <f t="shared" si="41"/>
        <v/>
      </c>
      <c r="R143" s="23" t="str">
        <f t="shared" si="37"/>
        <v/>
      </c>
      <c r="S143" s="23" t="str">
        <f t="shared" si="38"/>
        <v/>
      </c>
      <c r="T143" s="23" t="str">
        <f t="shared" si="39"/>
        <v/>
      </c>
      <c r="U143" s="10"/>
    </row>
    <row r="144" spans="3:21" x14ac:dyDescent="0.25">
      <c r="C144" s="8"/>
      <c r="D144" s="8"/>
      <c r="E144" s="8"/>
      <c r="F144" s="8"/>
      <c r="G144" s="25" t="str">
        <f t="shared" si="30"/>
        <v/>
      </c>
      <c r="H144" s="8"/>
      <c r="I144" s="26" t="str">
        <f t="shared" si="31"/>
        <v/>
      </c>
      <c r="J144" s="8"/>
      <c r="K144" s="26" t="str">
        <f t="shared" si="32"/>
        <v/>
      </c>
      <c r="L144" s="8"/>
      <c r="M144" s="26" t="str">
        <f t="shared" si="33"/>
        <v/>
      </c>
      <c r="N144" s="8"/>
      <c r="O144" s="26" t="str">
        <f t="shared" si="34"/>
        <v/>
      </c>
      <c r="P144" s="23" t="str">
        <f t="shared" si="40"/>
        <v/>
      </c>
      <c r="Q144" s="23" t="str">
        <f t="shared" si="41"/>
        <v/>
      </c>
      <c r="R144" s="23" t="str">
        <f t="shared" si="37"/>
        <v/>
      </c>
      <c r="S144" s="23" t="str">
        <f t="shared" si="38"/>
        <v/>
      </c>
      <c r="T144" s="23" t="str">
        <f t="shared" si="39"/>
        <v/>
      </c>
      <c r="U144" s="10"/>
    </row>
    <row r="145" spans="3:21" x14ac:dyDescent="0.25">
      <c r="C145" s="8"/>
      <c r="D145" s="8"/>
      <c r="E145" s="8"/>
      <c r="F145" s="8"/>
      <c r="G145" s="25" t="str">
        <f t="shared" si="30"/>
        <v/>
      </c>
      <c r="H145" s="8"/>
      <c r="I145" s="26" t="str">
        <f t="shared" si="31"/>
        <v/>
      </c>
      <c r="J145" s="8"/>
      <c r="K145" s="26" t="str">
        <f t="shared" si="32"/>
        <v/>
      </c>
      <c r="L145" s="8"/>
      <c r="M145" s="26" t="str">
        <f t="shared" si="33"/>
        <v/>
      </c>
      <c r="N145" s="8"/>
      <c r="O145" s="26" t="str">
        <f t="shared" si="34"/>
        <v/>
      </c>
      <c r="P145" s="23" t="str">
        <f t="shared" si="40"/>
        <v/>
      </c>
      <c r="Q145" s="23" t="str">
        <f t="shared" si="41"/>
        <v/>
      </c>
      <c r="R145" s="23" t="str">
        <f t="shared" si="37"/>
        <v/>
      </c>
      <c r="S145" s="23" t="str">
        <f t="shared" si="38"/>
        <v/>
      </c>
      <c r="T145" s="23" t="str">
        <f t="shared" si="39"/>
        <v/>
      </c>
      <c r="U145" s="10"/>
    </row>
    <row r="146" spans="3:21" x14ac:dyDescent="0.25">
      <c r="C146" s="8"/>
      <c r="D146" s="8"/>
      <c r="E146" s="8"/>
      <c r="F146" s="8"/>
      <c r="G146" s="25" t="str">
        <f t="shared" si="30"/>
        <v/>
      </c>
      <c r="H146" s="8"/>
      <c r="I146" s="26" t="str">
        <f t="shared" si="31"/>
        <v/>
      </c>
      <c r="J146" s="8"/>
      <c r="K146" s="26" t="str">
        <f t="shared" si="32"/>
        <v/>
      </c>
      <c r="L146" s="8"/>
      <c r="M146" s="26" t="str">
        <f t="shared" si="33"/>
        <v/>
      </c>
      <c r="N146" s="8"/>
      <c r="O146" s="26" t="str">
        <f t="shared" si="34"/>
        <v/>
      </c>
      <c r="P146" s="23" t="str">
        <f t="shared" si="40"/>
        <v/>
      </c>
      <c r="Q146" s="23" t="str">
        <f t="shared" si="41"/>
        <v/>
      </c>
      <c r="R146" s="23" t="str">
        <f t="shared" si="37"/>
        <v/>
      </c>
      <c r="S146" s="23" t="str">
        <f t="shared" si="38"/>
        <v/>
      </c>
      <c r="T146" s="23" t="str">
        <f t="shared" si="39"/>
        <v/>
      </c>
      <c r="U146" s="10"/>
    </row>
    <row r="147" spans="3:21" x14ac:dyDescent="0.25">
      <c r="C147" s="8"/>
      <c r="D147" s="8"/>
      <c r="E147" s="8"/>
      <c r="F147" s="8"/>
      <c r="G147" s="25" t="str">
        <f t="shared" si="30"/>
        <v/>
      </c>
      <c r="H147" s="8"/>
      <c r="I147" s="26" t="str">
        <f t="shared" si="31"/>
        <v/>
      </c>
      <c r="J147" s="8"/>
      <c r="K147" s="26" t="str">
        <f t="shared" si="32"/>
        <v/>
      </c>
      <c r="L147" s="8"/>
      <c r="M147" s="26" t="str">
        <f t="shared" si="33"/>
        <v/>
      </c>
      <c r="N147" s="8"/>
      <c r="O147" s="26" t="str">
        <f t="shared" si="34"/>
        <v/>
      </c>
      <c r="P147" s="23" t="str">
        <f t="shared" si="40"/>
        <v/>
      </c>
      <c r="Q147" s="23" t="str">
        <f t="shared" si="41"/>
        <v/>
      </c>
      <c r="R147" s="23" t="str">
        <f t="shared" si="37"/>
        <v/>
      </c>
      <c r="S147" s="23" t="str">
        <f t="shared" si="38"/>
        <v/>
      </c>
      <c r="T147" s="23" t="str">
        <f t="shared" si="39"/>
        <v/>
      </c>
      <c r="U147" s="10"/>
    </row>
    <row r="148" spans="3:21" x14ac:dyDescent="0.25">
      <c r="C148" s="8"/>
      <c r="D148" s="8"/>
      <c r="E148" s="8"/>
      <c r="F148" s="8"/>
      <c r="G148" s="25" t="str">
        <f t="shared" si="30"/>
        <v/>
      </c>
      <c r="H148" s="8"/>
      <c r="I148" s="26" t="str">
        <f t="shared" si="31"/>
        <v/>
      </c>
      <c r="J148" s="8"/>
      <c r="K148" s="26" t="str">
        <f t="shared" si="32"/>
        <v/>
      </c>
      <c r="L148" s="8"/>
      <c r="M148" s="26" t="str">
        <f t="shared" si="33"/>
        <v/>
      </c>
      <c r="N148" s="8"/>
      <c r="O148" s="26" t="str">
        <f t="shared" si="34"/>
        <v/>
      </c>
      <c r="P148" s="23" t="str">
        <f t="shared" si="40"/>
        <v/>
      </c>
      <c r="Q148" s="23" t="str">
        <f t="shared" si="41"/>
        <v/>
      </c>
      <c r="R148" s="23" t="str">
        <f t="shared" si="37"/>
        <v/>
      </c>
      <c r="S148" s="23" t="str">
        <f t="shared" si="38"/>
        <v/>
      </c>
      <c r="T148" s="23" t="str">
        <f t="shared" si="39"/>
        <v/>
      </c>
      <c r="U148" s="10"/>
    </row>
    <row r="149" spans="3:21" x14ac:dyDescent="0.25">
      <c r="C149" s="8"/>
      <c r="D149" s="8"/>
      <c r="E149" s="8"/>
      <c r="F149" s="8"/>
      <c r="G149" s="25" t="str">
        <f t="shared" si="30"/>
        <v/>
      </c>
      <c r="H149" s="8"/>
      <c r="I149" s="26" t="str">
        <f t="shared" si="31"/>
        <v/>
      </c>
      <c r="J149" s="8"/>
      <c r="K149" s="26" t="str">
        <f t="shared" si="32"/>
        <v/>
      </c>
      <c r="L149" s="8"/>
      <c r="M149" s="26" t="str">
        <f t="shared" si="33"/>
        <v/>
      </c>
      <c r="N149" s="8"/>
      <c r="O149" s="26" t="str">
        <f t="shared" si="34"/>
        <v/>
      </c>
      <c r="P149" s="23" t="str">
        <f t="shared" si="40"/>
        <v/>
      </c>
      <c r="Q149" s="23" t="str">
        <f t="shared" si="41"/>
        <v/>
      </c>
      <c r="R149" s="23" t="str">
        <f t="shared" si="37"/>
        <v/>
      </c>
      <c r="S149" s="23" t="str">
        <f t="shared" si="38"/>
        <v/>
      </c>
      <c r="T149" s="23" t="str">
        <f t="shared" si="39"/>
        <v/>
      </c>
      <c r="U149" s="10"/>
    </row>
    <row r="150" spans="3:21" x14ac:dyDescent="0.25">
      <c r="C150" s="8"/>
      <c r="D150" s="8"/>
      <c r="E150" s="8"/>
      <c r="F150" s="8"/>
      <c r="G150" s="25" t="str">
        <f t="shared" si="30"/>
        <v/>
      </c>
      <c r="H150" s="8"/>
      <c r="I150" s="26" t="str">
        <f t="shared" si="31"/>
        <v/>
      </c>
      <c r="J150" s="8"/>
      <c r="K150" s="26" t="str">
        <f t="shared" si="32"/>
        <v/>
      </c>
      <c r="L150" s="8"/>
      <c r="M150" s="26" t="str">
        <f t="shared" si="33"/>
        <v/>
      </c>
      <c r="N150" s="8"/>
      <c r="O150" s="26" t="str">
        <f t="shared" si="34"/>
        <v/>
      </c>
      <c r="P150" s="23" t="str">
        <f t="shared" si="40"/>
        <v/>
      </c>
      <c r="Q150" s="23" t="str">
        <f t="shared" si="41"/>
        <v/>
      </c>
      <c r="R150" s="23" t="str">
        <f t="shared" si="37"/>
        <v/>
      </c>
      <c r="S150" s="23" t="str">
        <f t="shared" si="38"/>
        <v/>
      </c>
      <c r="T150" s="23" t="str">
        <f t="shared" si="39"/>
        <v/>
      </c>
      <c r="U150" s="10"/>
    </row>
    <row r="151" spans="3:21" x14ac:dyDescent="0.25">
      <c r="C151" s="8"/>
      <c r="D151" s="8"/>
      <c r="E151" s="8"/>
      <c r="F151" s="8"/>
      <c r="G151" s="25" t="str">
        <f t="shared" si="30"/>
        <v/>
      </c>
      <c r="H151" s="8"/>
      <c r="I151" s="26" t="str">
        <f t="shared" si="31"/>
        <v/>
      </c>
      <c r="J151" s="8"/>
      <c r="K151" s="26" t="str">
        <f t="shared" si="32"/>
        <v/>
      </c>
      <c r="L151" s="8"/>
      <c r="M151" s="26" t="str">
        <f t="shared" si="33"/>
        <v/>
      </c>
      <c r="N151" s="8"/>
      <c r="O151" s="26" t="str">
        <f t="shared" si="34"/>
        <v/>
      </c>
      <c r="P151" s="23" t="str">
        <f t="shared" si="40"/>
        <v/>
      </c>
      <c r="Q151" s="23" t="str">
        <f t="shared" si="41"/>
        <v/>
      </c>
      <c r="R151" s="23" t="str">
        <f t="shared" si="37"/>
        <v/>
      </c>
      <c r="S151" s="23" t="str">
        <f t="shared" si="38"/>
        <v/>
      </c>
      <c r="T151" s="23" t="str">
        <f t="shared" si="39"/>
        <v/>
      </c>
      <c r="U151" s="10"/>
    </row>
    <row r="152" spans="3:21" x14ac:dyDescent="0.25">
      <c r="C152" s="8"/>
      <c r="D152" s="8"/>
      <c r="E152" s="8"/>
      <c r="F152" s="8"/>
      <c r="G152" s="25" t="str">
        <f t="shared" si="30"/>
        <v/>
      </c>
      <c r="H152" s="8"/>
      <c r="I152" s="26" t="str">
        <f t="shared" si="31"/>
        <v/>
      </c>
      <c r="J152" s="8"/>
      <c r="K152" s="26" t="str">
        <f t="shared" si="32"/>
        <v/>
      </c>
      <c r="L152" s="8"/>
      <c r="M152" s="26" t="str">
        <f t="shared" si="33"/>
        <v/>
      </c>
      <c r="N152" s="8"/>
      <c r="O152" s="26" t="str">
        <f t="shared" si="34"/>
        <v/>
      </c>
      <c r="P152" s="23" t="str">
        <f t="shared" si="40"/>
        <v/>
      </c>
      <c r="Q152" s="23" t="str">
        <f t="shared" si="41"/>
        <v/>
      </c>
      <c r="R152" s="23" t="str">
        <f t="shared" si="37"/>
        <v/>
      </c>
      <c r="S152" s="23" t="str">
        <f t="shared" si="38"/>
        <v/>
      </c>
      <c r="T152" s="23" t="str">
        <f t="shared" si="39"/>
        <v/>
      </c>
      <c r="U152" s="10"/>
    </row>
    <row r="153" spans="3:21" x14ac:dyDescent="0.25">
      <c r="C153" s="8"/>
      <c r="D153" s="8"/>
      <c r="E153" s="8"/>
      <c r="F153" s="8"/>
      <c r="G153" s="25" t="str">
        <f t="shared" si="30"/>
        <v/>
      </c>
      <c r="H153" s="8"/>
      <c r="I153" s="26" t="str">
        <f t="shared" si="31"/>
        <v/>
      </c>
      <c r="J153" s="8"/>
      <c r="K153" s="26" t="str">
        <f t="shared" si="32"/>
        <v/>
      </c>
      <c r="L153" s="8"/>
      <c r="M153" s="26" t="str">
        <f t="shared" si="33"/>
        <v/>
      </c>
      <c r="N153" s="8"/>
      <c r="O153" s="26" t="str">
        <f t="shared" si="34"/>
        <v/>
      </c>
      <c r="P153" s="23" t="str">
        <f t="shared" si="40"/>
        <v/>
      </c>
      <c r="Q153" s="23" t="str">
        <f t="shared" si="41"/>
        <v/>
      </c>
      <c r="R153" s="23" t="str">
        <f t="shared" si="37"/>
        <v/>
      </c>
      <c r="S153" s="23" t="str">
        <f t="shared" si="38"/>
        <v/>
      </c>
      <c r="T153" s="23" t="str">
        <f t="shared" si="39"/>
        <v/>
      </c>
      <c r="U153" s="10"/>
    </row>
    <row r="154" spans="3:21" x14ac:dyDescent="0.25">
      <c r="C154" s="8"/>
      <c r="D154" s="8"/>
      <c r="E154" s="8"/>
      <c r="F154" s="8"/>
      <c r="G154" s="25" t="str">
        <f t="shared" si="30"/>
        <v/>
      </c>
      <c r="H154" s="8"/>
      <c r="I154" s="26" t="str">
        <f t="shared" si="31"/>
        <v/>
      </c>
      <c r="J154" s="8"/>
      <c r="K154" s="26" t="str">
        <f t="shared" si="32"/>
        <v/>
      </c>
      <c r="L154" s="8"/>
      <c r="M154" s="26" t="str">
        <f t="shared" si="33"/>
        <v/>
      </c>
      <c r="N154" s="8"/>
      <c r="O154" s="26" t="str">
        <f t="shared" si="34"/>
        <v/>
      </c>
      <c r="P154" s="23" t="str">
        <f t="shared" si="40"/>
        <v/>
      </c>
      <c r="Q154" s="23" t="str">
        <f t="shared" si="41"/>
        <v/>
      </c>
      <c r="R154" s="23" t="str">
        <f t="shared" si="37"/>
        <v/>
      </c>
      <c r="S154" s="23" t="str">
        <f t="shared" si="38"/>
        <v/>
      </c>
      <c r="T154" s="23" t="str">
        <f t="shared" si="39"/>
        <v/>
      </c>
      <c r="U154" s="10"/>
    </row>
    <row r="155" spans="3:21" x14ac:dyDescent="0.25">
      <c r="C155" s="8"/>
      <c r="D155" s="8"/>
      <c r="E155" s="8"/>
      <c r="F155" s="8"/>
      <c r="G155" s="25" t="str">
        <f t="shared" si="30"/>
        <v/>
      </c>
      <c r="H155" s="8"/>
      <c r="I155" s="26" t="str">
        <f t="shared" si="31"/>
        <v/>
      </c>
      <c r="J155" s="8"/>
      <c r="K155" s="26" t="str">
        <f t="shared" si="32"/>
        <v/>
      </c>
      <c r="L155" s="8"/>
      <c r="M155" s="26" t="str">
        <f t="shared" si="33"/>
        <v/>
      </c>
      <c r="N155" s="8"/>
      <c r="O155" s="26" t="str">
        <f t="shared" si="34"/>
        <v/>
      </c>
      <c r="P155" s="23" t="str">
        <f t="shared" si="40"/>
        <v/>
      </c>
      <c r="Q155" s="23" t="str">
        <f t="shared" si="41"/>
        <v/>
      </c>
      <c r="R155" s="23" t="str">
        <f t="shared" si="37"/>
        <v/>
      </c>
      <c r="S155" s="23" t="str">
        <f t="shared" si="38"/>
        <v/>
      </c>
      <c r="T155" s="23" t="str">
        <f t="shared" si="39"/>
        <v/>
      </c>
      <c r="U155" s="10"/>
    </row>
    <row r="156" spans="3:21" x14ac:dyDescent="0.25">
      <c r="C156" s="8"/>
      <c r="D156" s="8"/>
      <c r="E156" s="8"/>
      <c r="F156" s="8"/>
      <c r="G156" s="25" t="str">
        <f t="shared" si="30"/>
        <v/>
      </c>
      <c r="H156" s="8"/>
      <c r="I156" s="26" t="str">
        <f t="shared" si="31"/>
        <v/>
      </c>
      <c r="J156" s="8"/>
      <c r="K156" s="26" t="str">
        <f t="shared" si="32"/>
        <v/>
      </c>
      <c r="L156" s="8"/>
      <c r="M156" s="26" t="str">
        <f t="shared" si="33"/>
        <v/>
      </c>
      <c r="N156" s="8"/>
      <c r="O156" s="26" t="str">
        <f t="shared" si="34"/>
        <v/>
      </c>
      <c r="P156" s="23" t="str">
        <f t="shared" si="40"/>
        <v/>
      </c>
      <c r="Q156" s="23" t="str">
        <f t="shared" si="41"/>
        <v/>
      </c>
      <c r="R156" s="23" t="str">
        <f t="shared" si="37"/>
        <v/>
      </c>
      <c r="S156" s="23" t="str">
        <f t="shared" si="38"/>
        <v/>
      </c>
      <c r="T156" s="23" t="str">
        <f t="shared" si="39"/>
        <v/>
      </c>
      <c r="U156" s="10"/>
    </row>
    <row r="157" spans="3:21" x14ac:dyDescent="0.25">
      <c r="C157" s="8"/>
      <c r="D157" s="8"/>
      <c r="E157" s="8"/>
      <c r="F157" s="8"/>
      <c r="G157" s="25" t="str">
        <f t="shared" si="30"/>
        <v/>
      </c>
      <c r="H157" s="8"/>
      <c r="I157" s="26" t="str">
        <f t="shared" si="31"/>
        <v/>
      </c>
      <c r="J157" s="8"/>
      <c r="K157" s="26" t="str">
        <f t="shared" si="32"/>
        <v/>
      </c>
      <c r="L157" s="8"/>
      <c r="M157" s="26" t="str">
        <f t="shared" si="33"/>
        <v/>
      </c>
      <c r="N157" s="8"/>
      <c r="O157" s="26" t="str">
        <f t="shared" si="34"/>
        <v/>
      </c>
      <c r="P157" s="23" t="str">
        <f t="shared" si="40"/>
        <v/>
      </c>
      <c r="Q157" s="23" t="str">
        <f t="shared" si="41"/>
        <v/>
      </c>
      <c r="R157" s="23" t="str">
        <f t="shared" si="37"/>
        <v/>
      </c>
      <c r="S157" s="23" t="str">
        <f t="shared" si="38"/>
        <v/>
      </c>
      <c r="T157" s="23" t="str">
        <f t="shared" si="39"/>
        <v/>
      </c>
      <c r="U157" s="10"/>
    </row>
    <row r="158" spans="3:21" x14ac:dyDescent="0.25">
      <c r="C158" s="8"/>
      <c r="D158" s="8"/>
      <c r="E158" s="8"/>
      <c r="F158" s="8"/>
      <c r="G158" s="25" t="str">
        <f t="shared" si="30"/>
        <v/>
      </c>
      <c r="H158" s="8"/>
      <c r="I158" s="26" t="str">
        <f t="shared" si="31"/>
        <v/>
      </c>
      <c r="J158" s="8"/>
      <c r="K158" s="26" t="str">
        <f t="shared" si="32"/>
        <v/>
      </c>
      <c r="L158" s="8"/>
      <c r="M158" s="26" t="str">
        <f t="shared" si="33"/>
        <v/>
      </c>
      <c r="N158" s="8"/>
      <c r="O158" s="26" t="str">
        <f t="shared" si="34"/>
        <v/>
      </c>
      <c r="P158" s="23" t="str">
        <f t="shared" si="40"/>
        <v/>
      </c>
      <c r="Q158" s="23" t="str">
        <f t="shared" si="41"/>
        <v/>
      </c>
      <c r="R158" s="23" t="str">
        <f t="shared" si="37"/>
        <v/>
      </c>
      <c r="S158" s="23" t="str">
        <f t="shared" si="38"/>
        <v/>
      </c>
      <c r="T158" s="23" t="str">
        <f t="shared" si="39"/>
        <v/>
      </c>
      <c r="U158" s="10"/>
    </row>
    <row r="159" spans="3:21" x14ac:dyDescent="0.25">
      <c r="C159" s="8"/>
      <c r="D159" s="8"/>
      <c r="E159" s="8"/>
      <c r="F159" s="8"/>
      <c r="G159" s="25" t="str">
        <f t="shared" ref="G159:G222" si="42">IF(F159="","",VLOOKUP(F159,$Y$4:$Z$15,2,TRUE))</f>
        <v/>
      </c>
      <c r="H159" s="8"/>
      <c r="I159" s="26" t="str">
        <f t="shared" ref="I159:I222" si="43">IF(H159="","",VLOOKUP(H159,$Y$4:$Z$15,2,TRUE))</f>
        <v/>
      </c>
      <c r="J159" s="8"/>
      <c r="K159" s="26" t="str">
        <f t="shared" ref="K159:K222" si="44">IF(J159="","",VLOOKUP(J159,$Y$4:$Z$15,2,TRUE))</f>
        <v/>
      </c>
      <c r="L159" s="8"/>
      <c r="M159" s="26" t="str">
        <f t="shared" ref="M159:M222" si="45">IF(L159="","",VLOOKUP(L159,$Y$4:$Z$15,2,TRUE))</f>
        <v/>
      </c>
      <c r="N159" s="8"/>
      <c r="O159" s="26" t="str">
        <f t="shared" ref="O159:O222" si="46">IF(N159="","",VLOOKUP(N159,$Y$4:$Z$15,2,TRUE))</f>
        <v/>
      </c>
      <c r="P159" s="23" t="str">
        <f t="shared" si="40"/>
        <v/>
      </c>
      <c r="Q159" s="23" t="str">
        <f t="shared" si="41"/>
        <v/>
      </c>
      <c r="R159" s="23" t="str">
        <f t="shared" ref="R159:R222" si="47">IF(Q159="","",VLOOKUP(Q159,$W$4:$X$15,2,TRUE))</f>
        <v/>
      </c>
      <c r="S159" s="23" t="str">
        <f t="shared" ref="S159:S222" si="48">IF(P159="","",RANK(P159,$P$5:$P$998,0))</f>
        <v/>
      </c>
      <c r="T159" s="23" t="str">
        <f t="shared" ref="T159:T222" si="49">IFERROR(VLOOKUP(R159,$AA$4:$AB$15,2,FALSE),"")</f>
        <v/>
      </c>
      <c r="U159" s="10"/>
    </row>
    <row r="160" spans="3:21" x14ac:dyDescent="0.25">
      <c r="C160" s="8"/>
      <c r="D160" s="8"/>
      <c r="E160" s="8"/>
      <c r="F160" s="8"/>
      <c r="G160" s="25" t="str">
        <f t="shared" si="42"/>
        <v/>
      </c>
      <c r="H160" s="8"/>
      <c r="I160" s="26" t="str">
        <f t="shared" si="43"/>
        <v/>
      </c>
      <c r="J160" s="8"/>
      <c r="K160" s="26" t="str">
        <f t="shared" si="44"/>
        <v/>
      </c>
      <c r="L160" s="8"/>
      <c r="M160" s="26" t="str">
        <f t="shared" si="45"/>
        <v/>
      </c>
      <c r="N160" s="8"/>
      <c r="O160" s="26" t="str">
        <f t="shared" si="46"/>
        <v/>
      </c>
      <c r="P160" s="23" t="str">
        <f t="shared" si="40"/>
        <v/>
      </c>
      <c r="Q160" s="23" t="str">
        <f t="shared" si="41"/>
        <v/>
      </c>
      <c r="R160" s="23" t="str">
        <f t="shared" si="47"/>
        <v/>
      </c>
      <c r="S160" s="23" t="str">
        <f t="shared" si="48"/>
        <v/>
      </c>
      <c r="T160" s="23" t="str">
        <f t="shared" si="49"/>
        <v/>
      </c>
      <c r="U160" s="10"/>
    </row>
    <row r="161" spans="3:21" x14ac:dyDescent="0.25">
      <c r="C161" s="8"/>
      <c r="D161" s="8"/>
      <c r="E161" s="8"/>
      <c r="F161" s="8"/>
      <c r="G161" s="25" t="str">
        <f t="shared" si="42"/>
        <v/>
      </c>
      <c r="H161" s="8"/>
      <c r="I161" s="26" t="str">
        <f t="shared" si="43"/>
        <v/>
      </c>
      <c r="J161" s="8"/>
      <c r="K161" s="26" t="str">
        <f t="shared" si="44"/>
        <v/>
      </c>
      <c r="L161" s="8"/>
      <c r="M161" s="26" t="str">
        <f t="shared" si="45"/>
        <v/>
      </c>
      <c r="N161" s="8"/>
      <c r="O161" s="26" t="str">
        <f t="shared" si="46"/>
        <v/>
      </c>
      <c r="P161" s="23" t="str">
        <f t="shared" si="40"/>
        <v/>
      </c>
      <c r="Q161" s="23" t="str">
        <f t="shared" si="41"/>
        <v/>
      </c>
      <c r="R161" s="23" t="str">
        <f t="shared" si="47"/>
        <v/>
      </c>
      <c r="S161" s="23" t="str">
        <f t="shared" si="48"/>
        <v/>
      </c>
      <c r="T161" s="23" t="str">
        <f t="shared" si="49"/>
        <v/>
      </c>
      <c r="U161" s="10"/>
    </row>
    <row r="162" spans="3:21" x14ac:dyDescent="0.25">
      <c r="C162" s="8"/>
      <c r="D162" s="8"/>
      <c r="E162" s="8"/>
      <c r="F162" s="8"/>
      <c r="G162" s="25" t="str">
        <f t="shared" si="42"/>
        <v/>
      </c>
      <c r="H162" s="8"/>
      <c r="I162" s="26" t="str">
        <f t="shared" si="43"/>
        <v/>
      </c>
      <c r="J162" s="8"/>
      <c r="K162" s="26" t="str">
        <f t="shared" si="44"/>
        <v/>
      </c>
      <c r="L162" s="8"/>
      <c r="M162" s="26" t="str">
        <f t="shared" si="45"/>
        <v/>
      </c>
      <c r="N162" s="8"/>
      <c r="O162" s="26" t="str">
        <f t="shared" si="46"/>
        <v/>
      </c>
      <c r="P162" s="23" t="str">
        <f t="shared" si="40"/>
        <v/>
      </c>
      <c r="Q162" s="23" t="str">
        <f t="shared" si="41"/>
        <v/>
      </c>
      <c r="R162" s="23" t="str">
        <f t="shared" si="47"/>
        <v/>
      </c>
      <c r="S162" s="23" t="str">
        <f t="shared" si="48"/>
        <v/>
      </c>
      <c r="T162" s="23" t="str">
        <f t="shared" si="49"/>
        <v/>
      </c>
      <c r="U162" s="10"/>
    </row>
    <row r="163" spans="3:21" x14ac:dyDescent="0.25">
      <c r="C163" s="8"/>
      <c r="D163" s="8"/>
      <c r="E163" s="8"/>
      <c r="F163" s="8"/>
      <c r="G163" s="25" t="str">
        <f t="shared" si="42"/>
        <v/>
      </c>
      <c r="H163" s="8"/>
      <c r="I163" s="26" t="str">
        <f t="shared" si="43"/>
        <v/>
      </c>
      <c r="J163" s="8"/>
      <c r="K163" s="26" t="str">
        <f t="shared" si="44"/>
        <v/>
      </c>
      <c r="L163" s="8"/>
      <c r="M163" s="26" t="str">
        <f t="shared" si="45"/>
        <v/>
      </c>
      <c r="N163" s="8"/>
      <c r="O163" s="26" t="str">
        <f t="shared" si="46"/>
        <v/>
      </c>
      <c r="P163" s="23" t="str">
        <f t="shared" si="40"/>
        <v/>
      </c>
      <c r="Q163" s="23" t="str">
        <f t="shared" si="41"/>
        <v/>
      </c>
      <c r="R163" s="23" t="str">
        <f t="shared" si="47"/>
        <v/>
      </c>
      <c r="S163" s="23" t="str">
        <f t="shared" si="48"/>
        <v/>
      </c>
      <c r="T163" s="23" t="str">
        <f t="shared" si="49"/>
        <v/>
      </c>
      <c r="U163" s="10"/>
    </row>
    <row r="164" spans="3:21" x14ac:dyDescent="0.25">
      <c r="C164" s="8"/>
      <c r="D164" s="8"/>
      <c r="E164" s="8"/>
      <c r="F164" s="8"/>
      <c r="G164" s="25" t="str">
        <f t="shared" si="42"/>
        <v/>
      </c>
      <c r="H164" s="8"/>
      <c r="I164" s="26" t="str">
        <f t="shared" si="43"/>
        <v/>
      </c>
      <c r="J164" s="8"/>
      <c r="K164" s="26" t="str">
        <f t="shared" si="44"/>
        <v/>
      </c>
      <c r="L164" s="8"/>
      <c r="M164" s="26" t="str">
        <f t="shared" si="45"/>
        <v/>
      </c>
      <c r="N164" s="8"/>
      <c r="O164" s="26" t="str">
        <f t="shared" si="46"/>
        <v/>
      </c>
      <c r="P164" s="23" t="str">
        <f t="shared" si="40"/>
        <v/>
      </c>
      <c r="Q164" s="23" t="str">
        <f t="shared" si="41"/>
        <v/>
      </c>
      <c r="R164" s="23" t="str">
        <f t="shared" si="47"/>
        <v/>
      </c>
      <c r="S164" s="23" t="str">
        <f t="shared" si="48"/>
        <v/>
      </c>
      <c r="T164" s="23" t="str">
        <f t="shared" si="49"/>
        <v/>
      </c>
      <c r="U164" s="10"/>
    </row>
    <row r="165" spans="3:21" x14ac:dyDescent="0.25">
      <c r="C165" s="8"/>
      <c r="D165" s="8"/>
      <c r="E165" s="8"/>
      <c r="F165" s="8"/>
      <c r="G165" s="25" t="str">
        <f t="shared" si="42"/>
        <v/>
      </c>
      <c r="H165" s="8"/>
      <c r="I165" s="26" t="str">
        <f t="shared" si="43"/>
        <v/>
      </c>
      <c r="J165" s="8"/>
      <c r="K165" s="26" t="str">
        <f t="shared" si="44"/>
        <v/>
      </c>
      <c r="L165" s="8"/>
      <c r="M165" s="26" t="str">
        <f t="shared" si="45"/>
        <v/>
      </c>
      <c r="N165" s="8"/>
      <c r="O165" s="26" t="str">
        <f t="shared" si="46"/>
        <v/>
      </c>
      <c r="P165" s="23" t="str">
        <f t="shared" si="40"/>
        <v/>
      </c>
      <c r="Q165" s="23" t="str">
        <f t="shared" si="41"/>
        <v/>
      </c>
      <c r="R165" s="23" t="str">
        <f t="shared" si="47"/>
        <v/>
      </c>
      <c r="S165" s="23" t="str">
        <f t="shared" si="48"/>
        <v/>
      </c>
      <c r="T165" s="23" t="str">
        <f t="shared" si="49"/>
        <v/>
      </c>
      <c r="U165" s="10"/>
    </row>
    <row r="166" spans="3:21" x14ac:dyDescent="0.25">
      <c r="C166" s="8"/>
      <c r="D166" s="8"/>
      <c r="E166" s="8"/>
      <c r="F166" s="8"/>
      <c r="G166" s="25" t="str">
        <f t="shared" si="42"/>
        <v/>
      </c>
      <c r="H166" s="8"/>
      <c r="I166" s="26" t="str">
        <f t="shared" si="43"/>
        <v/>
      </c>
      <c r="J166" s="8"/>
      <c r="K166" s="26" t="str">
        <f t="shared" si="44"/>
        <v/>
      </c>
      <c r="L166" s="8"/>
      <c r="M166" s="26" t="str">
        <f t="shared" si="45"/>
        <v/>
      </c>
      <c r="N166" s="8"/>
      <c r="O166" s="26" t="str">
        <f t="shared" si="46"/>
        <v/>
      </c>
      <c r="P166" s="23" t="str">
        <f t="shared" si="40"/>
        <v/>
      </c>
      <c r="Q166" s="23" t="str">
        <f t="shared" si="41"/>
        <v/>
      </c>
      <c r="R166" s="23" t="str">
        <f t="shared" si="47"/>
        <v/>
      </c>
      <c r="S166" s="23" t="str">
        <f t="shared" si="48"/>
        <v/>
      </c>
      <c r="T166" s="23" t="str">
        <f t="shared" si="49"/>
        <v/>
      </c>
      <c r="U166" s="10"/>
    </row>
    <row r="167" spans="3:21" x14ac:dyDescent="0.25">
      <c r="C167" s="8"/>
      <c r="D167" s="8"/>
      <c r="E167" s="8"/>
      <c r="F167" s="8"/>
      <c r="G167" s="25" t="str">
        <f t="shared" si="42"/>
        <v/>
      </c>
      <c r="H167" s="8"/>
      <c r="I167" s="26" t="str">
        <f t="shared" si="43"/>
        <v/>
      </c>
      <c r="J167" s="8"/>
      <c r="K167" s="26" t="str">
        <f t="shared" si="44"/>
        <v/>
      </c>
      <c r="L167" s="8"/>
      <c r="M167" s="26" t="str">
        <f t="shared" si="45"/>
        <v/>
      </c>
      <c r="N167" s="8"/>
      <c r="O167" s="26" t="str">
        <f t="shared" si="46"/>
        <v/>
      </c>
      <c r="P167" s="23" t="str">
        <f t="shared" si="40"/>
        <v/>
      </c>
      <c r="Q167" s="23" t="str">
        <f t="shared" si="41"/>
        <v/>
      </c>
      <c r="R167" s="23" t="str">
        <f t="shared" si="47"/>
        <v/>
      </c>
      <c r="S167" s="23" t="str">
        <f t="shared" si="48"/>
        <v/>
      </c>
      <c r="T167" s="23" t="str">
        <f t="shared" si="49"/>
        <v/>
      </c>
      <c r="U167" s="10"/>
    </row>
    <row r="168" spans="3:21" x14ac:dyDescent="0.25">
      <c r="C168" s="8"/>
      <c r="D168" s="8"/>
      <c r="E168" s="8"/>
      <c r="F168" s="8"/>
      <c r="G168" s="25" t="str">
        <f t="shared" si="42"/>
        <v/>
      </c>
      <c r="H168" s="8"/>
      <c r="I168" s="26" t="str">
        <f t="shared" si="43"/>
        <v/>
      </c>
      <c r="J168" s="8"/>
      <c r="K168" s="26" t="str">
        <f t="shared" si="44"/>
        <v/>
      </c>
      <c r="L168" s="8"/>
      <c r="M168" s="26" t="str">
        <f t="shared" si="45"/>
        <v/>
      </c>
      <c r="N168" s="8"/>
      <c r="O168" s="26" t="str">
        <f t="shared" si="46"/>
        <v/>
      </c>
      <c r="P168" s="23" t="str">
        <f t="shared" si="40"/>
        <v/>
      </c>
      <c r="Q168" s="23" t="str">
        <f t="shared" si="41"/>
        <v/>
      </c>
      <c r="R168" s="23" t="str">
        <f t="shared" si="47"/>
        <v/>
      </c>
      <c r="S168" s="23" t="str">
        <f t="shared" si="48"/>
        <v/>
      </c>
      <c r="T168" s="23" t="str">
        <f t="shared" si="49"/>
        <v/>
      </c>
      <c r="U168" s="10"/>
    </row>
    <row r="169" spans="3:21" x14ac:dyDescent="0.25">
      <c r="C169" s="8"/>
      <c r="D169" s="8"/>
      <c r="E169" s="8"/>
      <c r="F169" s="8"/>
      <c r="G169" s="25" t="str">
        <f t="shared" si="42"/>
        <v/>
      </c>
      <c r="H169" s="8"/>
      <c r="I169" s="26" t="str">
        <f t="shared" si="43"/>
        <v/>
      </c>
      <c r="J169" s="8"/>
      <c r="K169" s="26" t="str">
        <f t="shared" si="44"/>
        <v/>
      </c>
      <c r="L169" s="8"/>
      <c r="M169" s="26" t="str">
        <f t="shared" si="45"/>
        <v/>
      </c>
      <c r="N169" s="8"/>
      <c r="O169" s="26" t="str">
        <f t="shared" si="46"/>
        <v/>
      </c>
      <c r="P169" s="23" t="str">
        <f t="shared" si="40"/>
        <v/>
      </c>
      <c r="Q169" s="23" t="str">
        <f t="shared" si="41"/>
        <v/>
      </c>
      <c r="R169" s="23" t="str">
        <f t="shared" si="47"/>
        <v/>
      </c>
      <c r="S169" s="23" t="str">
        <f t="shared" si="48"/>
        <v/>
      </c>
      <c r="T169" s="23" t="str">
        <f t="shared" si="49"/>
        <v/>
      </c>
      <c r="U169" s="10"/>
    </row>
    <row r="170" spans="3:21" x14ac:dyDescent="0.25">
      <c r="C170" s="8"/>
      <c r="D170" s="8"/>
      <c r="E170" s="8"/>
      <c r="F170" s="8"/>
      <c r="G170" s="25" t="str">
        <f t="shared" si="42"/>
        <v/>
      </c>
      <c r="H170" s="8"/>
      <c r="I170" s="26" t="str">
        <f t="shared" si="43"/>
        <v/>
      </c>
      <c r="J170" s="8"/>
      <c r="K170" s="26" t="str">
        <f t="shared" si="44"/>
        <v/>
      </c>
      <c r="L170" s="8"/>
      <c r="M170" s="26" t="str">
        <f t="shared" si="45"/>
        <v/>
      </c>
      <c r="N170" s="8"/>
      <c r="O170" s="26" t="str">
        <f t="shared" si="46"/>
        <v/>
      </c>
      <c r="P170" s="23" t="str">
        <f t="shared" si="40"/>
        <v/>
      </c>
      <c r="Q170" s="23" t="str">
        <f t="shared" si="41"/>
        <v/>
      </c>
      <c r="R170" s="23" t="str">
        <f t="shared" si="47"/>
        <v/>
      </c>
      <c r="S170" s="23" t="str">
        <f t="shared" si="48"/>
        <v/>
      </c>
      <c r="T170" s="23" t="str">
        <f t="shared" si="49"/>
        <v/>
      </c>
      <c r="U170" s="10"/>
    </row>
    <row r="171" spans="3:21" x14ac:dyDescent="0.25">
      <c r="C171" s="8"/>
      <c r="D171" s="8"/>
      <c r="E171" s="8"/>
      <c r="F171" s="8"/>
      <c r="G171" s="25" t="str">
        <f t="shared" si="42"/>
        <v/>
      </c>
      <c r="H171" s="8"/>
      <c r="I171" s="26" t="str">
        <f t="shared" si="43"/>
        <v/>
      </c>
      <c r="J171" s="8"/>
      <c r="K171" s="26" t="str">
        <f t="shared" si="44"/>
        <v/>
      </c>
      <c r="L171" s="8"/>
      <c r="M171" s="26" t="str">
        <f t="shared" si="45"/>
        <v/>
      </c>
      <c r="N171" s="8"/>
      <c r="O171" s="26" t="str">
        <f t="shared" si="46"/>
        <v/>
      </c>
      <c r="P171" s="23" t="str">
        <f t="shared" si="40"/>
        <v/>
      </c>
      <c r="Q171" s="23" t="str">
        <f t="shared" si="41"/>
        <v/>
      </c>
      <c r="R171" s="23" t="str">
        <f t="shared" si="47"/>
        <v/>
      </c>
      <c r="S171" s="23" t="str">
        <f t="shared" si="48"/>
        <v/>
      </c>
      <c r="T171" s="23" t="str">
        <f t="shared" si="49"/>
        <v/>
      </c>
      <c r="U171" s="10"/>
    </row>
    <row r="172" spans="3:21" x14ac:dyDescent="0.25">
      <c r="C172" s="8"/>
      <c r="D172" s="8"/>
      <c r="E172" s="8"/>
      <c r="F172" s="8"/>
      <c r="G172" s="25" t="str">
        <f t="shared" si="42"/>
        <v/>
      </c>
      <c r="H172" s="8"/>
      <c r="I172" s="26" t="str">
        <f t="shared" si="43"/>
        <v/>
      </c>
      <c r="J172" s="8"/>
      <c r="K172" s="26" t="str">
        <f t="shared" si="44"/>
        <v/>
      </c>
      <c r="L172" s="8"/>
      <c r="M172" s="26" t="str">
        <f t="shared" si="45"/>
        <v/>
      </c>
      <c r="N172" s="8"/>
      <c r="O172" s="26" t="str">
        <f t="shared" si="46"/>
        <v/>
      </c>
      <c r="P172" s="23" t="str">
        <f t="shared" si="40"/>
        <v/>
      </c>
      <c r="Q172" s="23" t="str">
        <f t="shared" si="41"/>
        <v/>
      </c>
      <c r="R172" s="23" t="str">
        <f t="shared" si="47"/>
        <v/>
      </c>
      <c r="S172" s="23" t="str">
        <f t="shared" si="48"/>
        <v/>
      </c>
      <c r="T172" s="23" t="str">
        <f t="shared" si="49"/>
        <v/>
      </c>
      <c r="U172" s="10"/>
    </row>
    <row r="173" spans="3:21" x14ac:dyDescent="0.25">
      <c r="C173" s="8"/>
      <c r="D173" s="8"/>
      <c r="E173" s="8"/>
      <c r="F173" s="8"/>
      <c r="G173" s="25" t="str">
        <f t="shared" si="42"/>
        <v/>
      </c>
      <c r="H173" s="8"/>
      <c r="I173" s="26" t="str">
        <f t="shared" si="43"/>
        <v/>
      </c>
      <c r="J173" s="8"/>
      <c r="K173" s="26" t="str">
        <f t="shared" si="44"/>
        <v/>
      </c>
      <c r="L173" s="8"/>
      <c r="M173" s="26" t="str">
        <f t="shared" si="45"/>
        <v/>
      </c>
      <c r="N173" s="8"/>
      <c r="O173" s="26" t="str">
        <f t="shared" si="46"/>
        <v/>
      </c>
      <c r="P173" s="23" t="str">
        <f t="shared" si="40"/>
        <v/>
      </c>
      <c r="Q173" s="23" t="str">
        <f t="shared" si="41"/>
        <v/>
      </c>
      <c r="R173" s="23" t="str">
        <f t="shared" si="47"/>
        <v/>
      </c>
      <c r="S173" s="23" t="str">
        <f t="shared" si="48"/>
        <v/>
      </c>
      <c r="T173" s="23" t="str">
        <f t="shared" si="49"/>
        <v/>
      </c>
      <c r="U173" s="10"/>
    </row>
    <row r="174" spans="3:21" x14ac:dyDescent="0.25">
      <c r="C174" s="8"/>
      <c r="D174" s="8"/>
      <c r="E174" s="8"/>
      <c r="F174" s="8"/>
      <c r="G174" s="25" t="str">
        <f t="shared" si="42"/>
        <v/>
      </c>
      <c r="H174" s="8"/>
      <c r="I174" s="26" t="str">
        <f t="shared" si="43"/>
        <v/>
      </c>
      <c r="J174" s="8"/>
      <c r="K174" s="26" t="str">
        <f t="shared" si="44"/>
        <v/>
      </c>
      <c r="L174" s="8"/>
      <c r="M174" s="26" t="str">
        <f t="shared" si="45"/>
        <v/>
      </c>
      <c r="N174" s="8"/>
      <c r="O174" s="26" t="str">
        <f t="shared" si="46"/>
        <v/>
      </c>
      <c r="P174" s="23" t="str">
        <f t="shared" si="40"/>
        <v/>
      </c>
      <c r="Q174" s="23" t="str">
        <f t="shared" si="41"/>
        <v/>
      </c>
      <c r="R174" s="23" t="str">
        <f t="shared" si="47"/>
        <v/>
      </c>
      <c r="S174" s="23" t="str">
        <f t="shared" si="48"/>
        <v/>
      </c>
      <c r="T174" s="23" t="str">
        <f t="shared" si="49"/>
        <v/>
      </c>
      <c r="U174" s="10"/>
    </row>
    <row r="175" spans="3:21" x14ac:dyDescent="0.25">
      <c r="C175" s="8"/>
      <c r="D175" s="8"/>
      <c r="E175" s="8"/>
      <c r="F175" s="8"/>
      <c r="G175" s="25" t="str">
        <f t="shared" si="42"/>
        <v/>
      </c>
      <c r="H175" s="8"/>
      <c r="I175" s="26" t="str">
        <f t="shared" si="43"/>
        <v/>
      </c>
      <c r="J175" s="8"/>
      <c r="K175" s="26" t="str">
        <f t="shared" si="44"/>
        <v/>
      </c>
      <c r="L175" s="8"/>
      <c r="M175" s="26" t="str">
        <f t="shared" si="45"/>
        <v/>
      </c>
      <c r="N175" s="8"/>
      <c r="O175" s="26" t="str">
        <f t="shared" si="46"/>
        <v/>
      </c>
      <c r="P175" s="23" t="str">
        <f t="shared" si="40"/>
        <v/>
      </c>
      <c r="Q175" s="23" t="str">
        <f t="shared" si="41"/>
        <v/>
      </c>
      <c r="R175" s="23" t="str">
        <f t="shared" si="47"/>
        <v/>
      </c>
      <c r="S175" s="23" t="str">
        <f t="shared" si="48"/>
        <v/>
      </c>
      <c r="T175" s="23" t="str">
        <f t="shared" si="49"/>
        <v/>
      </c>
      <c r="U175" s="10"/>
    </row>
    <row r="176" spans="3:21" x14ac:dyDescent="0.25">
      <c r="C176" s="8"/>
      <c r="D176" s="8"/>
      <c r="E176" s="8"/>
      <c r="F176" s="8"/>
      <c r="G176" s="25" t="str">
        <f t="shared" si="42"/>
        <v/>
      </c>
      <c r="H176" s="8"/>
      <c r="I176" s="26" t="str">
        <f t="shared" si="43"/>
        <v/>
      </c>
      <c r="J176" s="8"/>
      <c r="K176" s="26" t="str">
        <f t="shared" si="44"/>
        <v/>
      </c>
      <c r="L176" s="8"/>
      <c r="M176" s="26" t="str">
        <f t="shared" si="45"/>
        <v/>
      </c>
      <c r="N176" s="8"/>
      <c r="O176" s="26" t="str">
        <f t="shared" si="46"/>
        <v/>
      </c>
      <c r="P176" s="23" t="str">
        <f t="shared" si="40"/>
        <v/>
      </c>
      <c r="Q176" s="23" t="str">
        <f t="shared" si="41"/>
        <v/>
      </c>
      <c r="R176" s="23" t="str">
        <f t="shared" si="47"/>
        <v/>
      </c>
      <c r="S176" s="23" t="str">
        <f t="shared" si="48"/>
        <v/>
      </c>
      <c r="T176" s="23" t="str">
        <f t="shared" si="49"/>
        <v/>
      </c>
      <c r="U176" s="10"/>
    </row>
    <row r="177" spans="3:21" x14ac:dyDescent="0.25">
      <c r="C177" s="8"/>
      <c r="D177" s="8"/>
      <c r="E177" s="8"/>
      <c r="F177" s="8"/>
      <c r="G177" s="25" t="str">
        <f t="shared" si="42"/>
        <v/>
      </c>
      <c r="H177" s="8"/>
      <c r="I177" s="26" t="str">
        <f t="shared" si="43"/>
        <v/>
      </c>
      <c r="J177" s="8"/>
      <c r="K177" s="26" t="str">
        <f t="shared" si="44"/>
        <v/>
      </c>
      <c r="L177" s="8"/>
      <c r="M177" s="26" t="str">
        <f t="shared" si="45"/>
        <v/>
      </c>
      <c r="N177" s="8"/>
      <c r="O177" s="26" t="str">
        <f t="shared" si="46"/>
        <v/>
      </c>
      <c r="P177" s="23" t="str">
        <f t="shared" si="40"/>
        <v/>
      </c>
      <c r="Q177" s="23" t="str">
        <f t="shared" si="41"/>
        <v/>
      </c>
      <c r="R177" s="23" t="str">
        <f t="shared" si="47"/>
        <v/>
      </c>
      <c r="S177" s="23" t="str">
        <f t="shared" si="48"/>
        <v/>
      </c>
      <c r="T177" s="23" t="str">
        <f t="shared" si="49"/>
        <v/>
      </c>
      <c r="U177" s="10"/>
    </row>
    <row r="178" spans="3:21" x14ac:dyDescent="0.25">
      <c r="C178" s="8"/>
      <c r="D178" s="8"/>
      <c r="E178" s="8"/>
      <c r="F178" s="8"/>
      <c r="G178" s="25" t="str">
        <f t="shared" si="42"/>
        <v/>
      </c>
      <c r="H178" s="8"/>
      <c r="I178" s="26" t="str">
        <f t="shared" si="43"/>
        <v/>
      </c>
      <c r="J178" s="8"/>
      <c r="K178" s="26" t="str">
        <f t="shared" si="44"/>
        <v/>
      </c>
      <c r="L178" s="8"/>
      <c r="M178" s="26" t="str">
        <f t="shared" si="45"/>
        <v/>
      </c>
      <c r="N178" s="8"/>
      <c r="O178" s="26" t="str">
        <f t="shared" si="46"/>
        <v/>
      </c>
      <c r="P178" s="23" t="str">
        <f t="shared" si="40"/>
        <v/>
      </c>
      <c r="Q178" s="23" t="str">
        <f t="shared" si="41"/>
        <v/>
      </c>
      <c r="R178" s="23" t="str">
        <f t="shared" si="47"/>
        <v/>
      </c>
      <c r="S178" s="23" t="str">
        <f t="shared" si="48"/>
        <v/>
      </c>
      <c r="T178" s="23" t="str">
        <f t="shared" si="49"/>
        <v/>
      </c>
      <c r="U178" s="10"/>
    </row>
    <row r="179" spans="3:21" x14ac:dyDescent="0.25">
      <c r="C179" s="8"/>
      <c r="D179" s="8"/>
      <c r="E179" s="8"/>
      <c r="F179" s="8"/>
      <c r="G179" s="25" t="str">
        <f t="shared" si="42"/>
        <v/>
      </c>
      <c r="H179" s="8"/>
      <c r="I179" s="26" t="str">
        <f t="shared" si="43"/>
        <v/>
      </c>
      <c r="J179" s="8"/>
      <c r="K179" s="26" t="str">
        <f t="shared" si="44"/>
        <v/>
      </c>
      <c r="L179" s="8"/>
      <c r="M179" s="26" t="str">
        <f t="shared" si="45"/>
        <v/>
      </c>
      <c r="N179" s="8"/>
      <c r="O179" s="26" t="str">
        <f t="shared" si="46"/>
        <v/>
      </c>
      <c r="P179" s="23" t="str">
        <f t="shared" si="40"/>
        <v/>
      </c>
      <c r="Q179" s="23" t="str">
        <f t="shared" si="41"/>
        <v/>
      </c>
      <c r="R179" s="23" t="str">
        <f t="shared" si="47"/>
        <v/>
      </c>
      <c r="S179" s="23" t="str">
        <f t="shared" si="48"/>
        <v/>
      </c>
      <c r="T179" s="23" t="str">
        <f t="shared" si="49"/>
        <v/>
      </c>
      <c r="U179" s="10"/>
    </row>
    <row r="180" spans="3:21" x14ac:dyDescent="0.25">
      <c r="C180" s="8"/>
      <c r="D180" s="8"/>
      <c r="E180" s="8"/>
      <c r="F180" s="8"/>
      <c r="G180" s="25" t="str">
        <f t="shared" si="42"/>
        <v/>
      </c>
      <c r="H180" s="8"/>
      <c r="I180" s="26" t="str">
        <f t="shared" si="43"/>
        <v/>
      </c>
      <c r="J180" s="8"/>
      <c r="K180" s="26" t="str">
        <f t="shared" si="44"/>
        <v/>
      </c>
      <c r="L180" s="8"/>
      <c r="M180" s="26" t="str">
        <f t="shared" si="45"/>
        <v/>
      </c>
      <c r="N180" s="8"/>
      <c r="O180" s="26" t="str">
        <f t="shared" si="46"/>
        <v/>
      </c>
      <c r="P180" s="23" t="str">
        <f t="shared" si="40"/>
        <v/>
      </c>
      <c r="Q180" s="23" t="str">
        <f t="shared" si="41"/>
        <v/>
      </c>
      <c r="R180" s="23" t="str">
        <f t="shared" si="47"/>
        <v/>
      </c>
      <c r="S180" s="23" t="str">
        <f t="shared" si="48"/>
        <v/>
      </c>
      <c r="T180" s="23" t="str">
        <f t="shared" si="49"/>
        <v/>
      </c>
      <c r="U180" s="10"/>
    </row>
    <row r="181" spans="3:21" x14ac:dyDescent="0.25">
      <c r="C181" s="8"/>
      <c r="D181" s="8"/>
      <c r="E181" s="8"/>
      <c r="F181" s="8"/>
      <c r="G181" s="25" t="str">
        <f t="shared" si="42"/>
        <v/>
      </c>
      <c r="H181" s="8"/>
      <c r="I181" s="26" t="str">
        <f t="shared" si="43"/>
        <v/>
      </c>
      <c r="J181" s="8"/>
      <c r="K181" s="26" t="str">
        <f t="shared" si="44"/>
        <v/>
      </c>
      <c r="L181" s="8"/>
      <c r="M181" s="26" t="str">
        <f t="shared" si="45"/>
        <v/>
      </c>
      <c r="N181" s="8"/>
      <c r="O181" s="26" t="str">
        <f t="shared" si="46"/>
        <v/>
      </c>
      <c r="P181" s="23" t="str">
        <f t="shared" si="40"/>
        <v/>
      </c>
      <c r="Q181" s="23" t="str">
        <f t="shared" si="41"/>
        <v/>
      </c>
      <c r="R181" s="23" t="str">
        <f t="shared" si="47"/>
        <v/>
      </c>
      <c r="S181" s="23" t="str">
        <f t="shared" si="48"/>
        <v/>
      </c>
      <c r="T181" s="23" t="str">
        <f t="shared" si="49"/>
        <v/>
      </c>
      <c r="U181" s="10"/>
    </row>
    <row r="182" spans="3:21" x14ac:dyDescent="0.25">
      <c r="C182" s="8"/>
      <c r="D182" s="8"/>
      <c r="E182" s="8"/>
      <c r="F182" s="8"/>
      <c r="G182" s="25" t="str">
        <f t="shared" si="42"/>
        <v/>
      </c>
      <c r="H182" s="8"/>
      <c r="I182" s="26" t="str">
        <f t="shared" si="43"/>
        <v/>
      </c>
      <c r="J182" s="8"/>
      <c r="K182" s="26" t="str">
        <f t="shared" si="44"/>
        <v/>
      </c>
      <c r="L182" s="8"/>
      <c r="M182" s="26" t="str">
        <f t="shared" si="45"/>
        <v/>
      </c>
      <c r="N182" s="8"/>
      <c r="O182" s="26" t="str">
        <f t="shared" si="46"/>
        <v/>
      </c>
      <c r="P182" s="23" t="str">
        <f t="shared" si="40"/>
        <v/>
      </c>
      <c r="Q182" s="23" t="str">
        <f t="shared" si="41"/>
        <v/>
      </c>
      <c r="R182" s="23" t="str">
        <f t="shared" si="47"/>
        <v/>
      </c>
      <c r="S182" s="23" t="str">
        <f t="shared" si="48"/>
        <v/>
      </c>
      <c r="T182" s="23" t="str">
        <f t="shared" si="49"/>
        <v/>
      </c>
      <c r="U182" s="10"/>
    </row>
    <row r="183" spans="3:21" x14ac:dyDescent="0.25">
      <c r="C183" s="8"/>
      <c r="D183" s="8"/>
      <c r="E183" s="8"/>
      <c r="F183" s="8"/>
      <c r="G183" s="25" t="str">
        <f t="shared" si="42"/>
        <v/>
      </c>
      <c r="H183" s="8"/>
      <c r="I183" s="26" t="str">
        <f t="shared" si="43"/>
        <v/>
      </c>
      <c r="J183" s="8"/>
      <c r="K183" s="26" t="str">
        <f t="shared" si="44"/>
        <v/>
      </c>
      <c r="L183" s="8"/>
      <c r="M183" s="26" t="str">
        <f t="shared" si="45"/>
        <v/>
      </c>
      <c r="N183" s="8"/>
      <c r="O183" s="26" t="str">
        <f t="shared" si="46"/>
        <v/>
      </c>
      <c r="P183" s="23" t="str">
        <f t="shared" si="40"/>
        <v/>
      </c>
      <c r="Q183" s="23" t="str">
        <f t="shared" si="41"/>
        <v/>
      </c>
      <c r="R183" s="23" t="str">
        <f t="shared" si="47"/>
        <v/>
      </c>
      <c r="S183" s="23" t="str">
        <f t="shared" si="48"/>
        <v/>
      </c>
      <c r="T183" s="23" t="str">
        <f t="shared" si="49"/>
        <v/>
      </c>
      <c r="U183" s="10"/>
    </row>
    <row r="184" spans="3:21" x14ac:dyDescent="0.25">
      <c r="C184" s="8"/>
      <c r="D184" s="8"/>
      <c r="E184" s="8"/>
      <c r="F184" s="8"/>
      <c r="G184" s="25" t="str">
        <f t="shared" si="42"/>
        <v/>
      </c>
      <c r="H184" s="8"/>
      <c r="I184" s="26" t="str">
        <f t="shared" si="43"/>
        <v/>
      </c>
      <c r="J184" s="8"/>
      <c r="K184" s="26" t="str">
        <f t="shared" si="44"/>
        <v/>
      </c>
      <c r="L184" s="8"/>
      <c r="M184" s="26" t="str">
        <f t="shared" si="45"/>
        <v/>
      </c>
      <c r="N184" s="8"/>
      <c r="O184" s="26" t="str">
        <f t="shared" si="46"/>
        <v/>
      </c>
      <c r="P184" s="23" t="str">
        <f t="shared" si="40"/>
        <v/>
      </c>
      <c r="Q184" s="23" t="str">
        <f t="shared" si="41"/>
        <v/>
      </c>
      <c r="R184" s="23" t="str">
        <f t="shared" si="47"/>
        <v/>
      </c>
      <c r="S184" s="23" t="str">
        <f t="shared" si="48"/>
        <v/>
      </c>
      <c r="T184" s="23" t="str">
        <f t="shared" si="49"/>
        <v/>
      </c>
      <c r="U184" s="10"/>
    </row>
    <row r="185" spans="3:21" x14ac:dyDescent="0.25">
      <c r="C185" s="8"/>
      <c r="D185" s="8"/>
      <c r="E185" s="8"/>
      <c r="F185" s="8"/>
      <c r="G185" s="25" t="str">
        <f t="shared" si="42"/>
        <v/>
      </c>
      <c r="H185" s="8"/>
      <c r="I185" s="26" t="str">
        <f t="shared" si="43"/>
        <v/>
      </c>
      <c r="J185" s="8"/>
      <c r="K185" s="26" t="str">
        <f t="shared" si="44"/>
        <v/>
      </c>
      <c r="L185" s="8"/>
      <c r="M185" s="26" t="str">
        <f t="shared" si="45"/>
        <v/>
      </c>
      <c r="N185" s="8"/>
      <c r="O185" s="26" t="str">
        <f t="shared" si="46"/>
        <v/>
      </c>
      <c r="P185" s="23" t="str">
        <f t="shared" si="40"/>
        <v/>
      </c>
      <c r="Q185" s="23" t="str">
        <f t="shared" si="41"/>
        <v/>
      </c>
      <c r="R185" s="23" t="str">
        <f t="shared" si="47"/>
        <v/>
      </c>
      <c r="S185" s="23" t="str">
        <f t="shared" si="48"/>
        <v/>
      </c>
      <c r="T185" s="23" t="str">
        <f t="shared" si="49"/>
        <v/>
      </c>
      <c r="U185" s="10"/>
    </row>
    <row r="186" spans="3:21" x14ac:dyDescent="0.25">
      <c r="C186" s="8"/>
      <c r="D186" s="8"/>
      <c r="E186" s="8"/>
      <c r="F186" s="8"/>
      <c r="G186" s="25" t="str">
        <f t="shared" si="42"/>
        <v/>
      </c>
      <c r="H186" s="8"/>
      <c r="I186" s="26" t="str">
        <f t="shared" si="43"/>
        <v/>
      </c>
      <c r="J186" s="8"/>
      <c r="K186" s="26" t="str">
        <f t="shared" si="44"/>
        <v/>
      </c>
      <c r="L186" s="8"/>
      <c r="M186" s="26" t="str">
        <f t="shared" si="45"/>
        <v/>
      </c>
      <c r="N186" s="8"/>
      <c r="O186" s="26" t="str">
        <f t="shared" si="46"/>
        <v/>
      </c>
      <c r="P186" s="23" t="str">
        <f t="shared" si="40"/>
        <v/>
      </c>
      <c r="Q186" s="23" t="str">
        <f t="shared" si="41"/>
        <v/>
      </c>
      <c r="R186" s="23" t="str">
        <f t="shared" si="47"/>
        <v/>
      </c>
      <c r="S186" s="23" t="str">
        <f t="shared" si="48"/>
        <v/>
      </c>
      <c r="T186" s="23" t="str">
        <f t="shared" si="49"/>
        <v/>
      </c>
      <c r="U186" s="10"/>
    </row>
    <row r="187" spans="3:21" x14ac:dyDescent="0.25">
      <c r="C187" s="8"/>
      <c r="D187" s="8"/>
      <c r="E187" s="8"/>
      <c r="F187" s="8"/>
      <c r="G187" s="25" t="str">
        <f t="shared" si="42"/>
        <v/>
      </c>
      <c r="H187" s="8"/>
      <c r="I187" s="26" t="str">
        <f t="shared" si="43"/>
        <v/>
      </c>
      <c r="J187" s="8"/>
      <c r="K187" s="26" t="str">
        <f t="shared" si="44"/>
        <v/>
      </c>
      <c r="L187" s="8"/>
      <c r="M187" s="26" t="str">
        <f t="shared" si="45"/>
        <v/>
      </c>
      <c r="N187" s="8"/>
      <c r="O187" s="26" t="str">
        <f t="shared" si="46"/>
        <v/>
      </c>
      <c r="P187" s="23" t="str">
        <f t="shared" si="40"/>
        <v/>
      </c>
      <c r="Q187" s="23" t="str">
        <f t="shared" si="41"/>
        <v/>
      </c>
      <c r="R187" s="23" t="str">
        <f t="shared" si="47"/>
        <v/>
      </c>
      <c r="S187" s="23" t="str">
        <f t="shared" si="48"/>
        <v/>
      </c>
      <c r="T187" s="23" t="str">
        <f t="shared" si="49"/>
        <v/>
      </c>
      <c r="U187" s="10"/>
    </row>
    <row r="188" spans="3:21" x14ac:dyDescent="0.25">
      <c r="C188" s="8"/>
      <c r="D188" s="8"/>
      <c r="E188" s="8"/>
      <c r="F188" s="8"/>
      <c r="G188" s="25" t="str">
        <f t="shared" si="42"/>
        <v/>
      </c>
      <c r="H188" s="8"/>
      <c r="I188" s="26" t="str">
        <f t="shared" si="43"/>
        <v/>
      </c>
      <c r="J188" s="8"/>
      <c r="K188" s="26" t="str">
        <f t="shared" si="44"/>
        <v/>
      </c>
      <c r="L188" s="8"/>
      <c r="M188" s="26" t="str">
        <f t="shared" si="45"/>
        <v/>
      </c>
      <c r="N188" s="8"/>
      <c r="O188" s="26" t="str">
        <f t="shared" si="46"/>
        <v/>
      </c>
      <c r="P188" s="23" t="str">
        <f t="shared" si="40"/>
        <v/>
      </c>
      <c r="Q188" s="23" t="str">
        <f t="shared" si="41"/>
        <v/>
      </c>
      <c r="R188" s="23" t="str">
        <f t="shared" si="47"/>
        <v/>
      </c>
      <c r="S188" s="23" t="str">
        <f t="shared" si="48"/>
        <v/>
      </c>
      <c r="T188" s="23" t="str">
        <f t="shared" si="49"/>
        <v/>
      </c>
      <c r="U188" s="10"/>
    </row>
    <row r="189" spans="3:21" x14ac:dyDescent="0.25">
      <c r="C189" s="8"/>
      <c r="D189" s="8"/>
      <c r="E189" s="8"/>
      <c r="F189" s="8"/>
      <c r="G189" s="25" t="str">
        <f t="shared" si="42"/>
        <v/>
      </c>
      <c r="H189" s="8"/>
      <c r="I189" s="26" t="str">
        <f t="shared" si="43"/>
        <v/>
      </c>
      <c r="J189" s="8"/>
      <c r="K189" s="26" t="str">
        <f t="shared" si="44"/>
        <v/>
      </c>
      <c r="L189" s="8"/>
      <c r="M189" s="26" t="str">
        <f t="shared" si="45"/>
        <v/>
      </c>
      <c r="N189" s="8"/>
      <c r="O189" s="26" t="str">
        <f t="shared" si="46"/>
        <v/>
      </c>
      <c r="P189" s="23" t="str">
        <f t="shared" si="40"/>
        <v/>
      </c>
      <c r="Q189" s="23" t="str">
        <f t="shared" si="41"/>
        <v/>
      </c>
      <c r="R189" s="23" t="str">
        <f t="shared" si="47"/>
        <v/>
      </c>
      <c r="S189" s="23" t="str">
        <f t="shared" si="48"/>
        <v/>
      </c>
      <c r="T189" s="23" t="str">
        <f t="shared" si="49"/>
        <v/>
      </c>
      <c r="U189" s="10"/>
    </row>
    <row r="190" spans="3:21" x14ac:dyDescent="0.25">
      <c r="C190" s="8"/>
      <c r="D190" s="8"/>
      <c r="E190" s="8"/>
      <c r="F190" s="8"/>
      <c r="G190" s="25" t="str">
        <f t="shared" si="42"/>
        <v/>
      </c>
      <c r="H190" s="8"/>
      <c r="I190" s="26" t="str">
        <f t="shared" si="43"/>
        <v/>
      </c>
      <c r="J190" s="8"/>
      <c r="K190" s="26" t="str">
        <f t="shared" si="44"/>
        <v/>
      </c>
      <c r="L190" s="8"/>
      <c r="M190" s="26" t="str">
        <f t="shared" si="45"/>
        <v/>
      </c>
      <c r="N190" s="8"/>
      <c r="O190" s="26" t="str">
        <f t="shared" si="46"/>
        <v/>
      </c>
      <c r="P190" s="23" t="str">
        <f t="shared" si="40"/>
        <v/>
      </c>
      <c r="Q190" s="23" t="str">
        <f t="shared" si="41"/>
        <v/>
      </c>
      <c r="R190" s="23" t="str">
        <f t="shared" si="47"/>
        <v/>
      </c>
      <c r="S190" s="23" t="str">
        <f t="shared" si="48"/>
        <v/>
      </c>
      <c r="T190" s="23" t="str">
        <f t="shared" si="49"/>
        <v/>
      </c>
      <c r="U190" s="10"/>
    </row>
    <row r="191" spans="3:21" x14ac:dyDescent="0.25">
      <c r="C191" s="8"/>
      <c r="D191" s="8"/>
      <c r="E191" s="8"/>
      <c r="F191" s="8"/>
      <c r="G191" s="25" t="str">
        <f t="shared" si="42"/>
        <v/>
      </c>
      <c r="H191" s="8"/>
      <c r="I191" s="26" t="str">
        <f t="shared" si="43"/>
        <v/>
      </c>
      <c r="J191" s="8"/>
      <c r="K191" s="26" t="str">
        <f t="shared" si="44"/>
        <v/>
      </c>
      <c r="L191" s="8"/>
      <c r="M191" s="26" t="str">
        <f t="shared" si="45"/>
        <v/>
      </c>
      <c r="N191" s="8"/>
      <c r="O191" s="26" t="str">
        <f t="shared" si="46"/>
        <v/>
      </c>
      <c r="P191" s="23" t="str">
        <f t="shared" si="40"/>
        <v/>
      </c>
      <c r="Q191" s="23" t="str">
        <f t="shared" si="41"/>
        <v/>
      </c>
      <c r="R191" s="23" t="str">
        <f t="shared" si="47"/>
        <v/>
      </c>
      <c r="S191" s="23" t="str">
        <f t="shared" si="48"/>
        <v/>
      </c>
      <c r="T191" s="23" t="str">
        <f t="shared" si="49"/>
        <v/>
      </c>
      <c r="U191" s="10"/>
    </row>
    <row r="192" spans="3:21" x14ac:dyDescent="0.25">
      <c r="C192" s="8"/>
      <c r="D192" s="8"/>
      <c r="E192" s="8"/>
      <c r="F192" s="8"/>
      <c r="G192" s="25" t="str">
        <f t="shared" si="42"/>
        <v/>
      </c>
      <c r="H192" s="8"/>
      <c r="I192" s="26" t="str">
        <f t="shared" si="43"/>
        <v/>
      </c>
      <c r="J192" s="8"/>
      <c r="K192" s="26" t="str">
        <f t="shared" si="44"/>
        <v/>
      </c>
      <c r="L192" s="8"/>
      <c r="M192" s="26" t="str">
        <f t="shared" si="45"/>
        <v/>
      </c>
      <c r="N192" s="8"/>
      <c r="O192" s="26" t="str">
        <f t="shared" si="46"/>
        <v/>
      </c>
      <c r="P192" s="23" t="str">
        <f t="shared" si="40"/>
        <v/>
      </c>
      <c r="Q192" s="23" t="str">
        <f t="shared" si="41"/>
        <v/>
      </c>
      <c r="R192" s="23" t="str">
        <f t="shared" si="47"/>
        <v/>
      </c>
      <c r="S192" s="23" t="str">
        <f t="shared" si="48"/>
        <v/>
      </c>
      <c r="T192" s="23" t="str">
        <f t="shared" si="49"/>
        <v/>
      </c>
      <c r="U192" s="10"/>
    </row>
    <row r="193" spans="3:21" x14ac:dyDescent="0.25">
      <c r="C193" s="8"/>
      <c r="D193" s="8"/>
      <c r="E193" s="8"/>
      <c r="F193" s="8"/>
      <c r="G193" s="25" t="str">
        <f t="shared" si="42"/>
        <v/>
      </c>
      <c r="H193" s="8"/>
      <c r="I193" s="26" t="str">
        <f t="shared" si="43"/>
        <v/>
      </c>
      <c r="J193" s="8"/>
      <c r="K193" s="26" t="str">
        <f t="shared" si="44"/>
        <v/>
      </c>
      <c r="L193" s="8"/>
      <c r="M193" s="26" t="str">
        <f t="shared" si="45"/>
        <v/>
      </c>
      <c r="N193" s="8"/>
      <c r="O193" s="26" t="str">
        <f t="shared" si="46"/>
        <v/>
      </c>
      <c r="P193" s="23" t="str">
        <f t="shared" si="40"/>
        <v/>
      </c>
      <c r="Q193" s="23" t="str">
        <f t="shared" si="41"/>
        <v/>
      </c>
      <c r="R193" s="23" t="str">
        <f t="shared" si="47"/>
        <v/>
      </c>
      <c r="S193" s="23" t="str">
        <f t="shared" si="48"/>
        <v/>
      </c>
      <c r="T193" s="23" t="str">
        <f t="shared" si="49"/>
        <v/>
      </c>
      <c r="U193" s="10"/>
    </row>
    <row r="194" spans="3:21" x14ac:dyDescent="0.25">
      <c r="C194" s="8"/>
      <c r="D194" s="8"/>
      <c r="E194" s="8"/>
      <c r="F194" s="8"/>
      <c r="G194" s="25" t="str">
        <f t="shared" si="42"/>
        <v/>
      </c>
      <c r="H194" s="8"/>
      <c r="I194" s="26" t="str">
        <f t="shared" si="43"/>
        <v/>
      </c>
      <c r="J194" s="8"/>
      <c r="K194" s="26" t="str">
        <f t="shared" si="44"/>
        <v/>
      </c>
      <c r="L194" s="8"/>
      <c r="M194" s="26" t="str">
        <f t="shared" si="45"/>
        <v/>
      </c>
      <c r="N194" s="8"/>
      <c r="O194" s="26" t="str">
        <f t="shared" si="46"/>
        <v/>
      </c>
      <c r="P194" s="23" t="str">
        <f t="shared" si="40"/>
        <v/>
      </c>
      <c r="Q194" s="23" t="str">
        <f t="shared" si="41"/>
        <v/>
      </c>
      <c r="R194" s="23" t="str">
        <f t="shared" si="47"/>
        <v/>
      </c>
      <c r="S194" s="23" t="str">
        <f t="shared" si="48"/>
        <v/>
      </c>
      <c r="T194" s="23" t="str">
        <f t="shared" si="49"/>
        <v/>
      </c>
      <c r="U194" s="10"/>
    </row>
    <row r="195" spans="3:21" x14ac:dyDescent="0.25">
      <c r="C195" s="8"/>
      <c r="D195" s="8"/>
      <c r="E195" s="8"/>
      <c r="F195" s="8"/>
      <c r="G195" s="25" t="str">
        <f t="shared" si="42"/>
        <v/>
      </c>
      <c r="H195" s="8"/>
      <c r="I195" s="26" t="str">
        <f t="shared" si="43"/>
        <v/>
      </c>
      <c r="J195" s="8"/>
      <c r="K195" s="26" t="str">
        <f t="shared" si="44"/>
        <v/>
      </c>
      <c r="L195" s="8"/>
      <c r="M195" s="26" t="str">
        <f t="shared" si="45"/>
        <v/>
      </c>
      <c r="N195" s="8"/>
      <c r="O195" s="26" t="str">
        <f t="shared" si="46"/>
        <v/>
      </c>
      <c r="P195" s="23" t="str">
        <f t="shared" si="40"/>
        <v/>
      </c>
      <c r="Q195" s="23" t="str">
        <f t="shared" si="41"/>
        <v/>
      </c>
      <c r="R195" s="23" t="str">
        <f t="shared" si="47"/>
        <v/>
      </c>
      <c r="S195" s="23" t="str">
        <f t="shared" si="48"/>
        <v/>
      </c>
      <c r="T195" s="23" t="str">
        <f t="shared" si="49"/>
        <v/>
      </c>
      <c r="U195" s="10"/>
    </row>
    <row r="196" spans="3:21" x14ac:dyDescent="0.25">
      <c r="C196" s="8"/>
      <c r="D196" s="8"/>
      <c r="E196" s="8"/>
      <c r="F196" s="8"/>
      <c r="G196" s="25" t="str">
        <f t="shared" si="42"/>
        <v/>
      </c>
      <c r="H196" s="8"/>
      <c r="I196" s="26" t="str">
        <f t="shared" si="43"/>
        <v/>
      </c>
      <c r="J196" s="8"/>
      <c r="K196" s="26" t="str">
        <f t="shared" si="44"/>
        <v/>
      </c>
      <c r="L196" s="8"/>
      <c r="M196" s="26" t="str">
        <f t="shared" si="45"/>
        <v/>
      </c>
      <c r="N196" s="8"/>
      <c r="O196" s="26" t="str">
        <f t="shared" si="46"/>
        <v/>
      </c>
      <c r="P196" s="23" t="str">
        <f t="shared" ref="P196:P259" si="50">IF(COUNT(F196:O196)=0,"",SUM(F196:O196))</f>
        <v/>
      </c>
      <c r="Q196" s="23" t="str">
        <f t="shared" ref="Q196:Q259" si="51">IF(P196="","",P196/500*12)</f>
        <v/>
      </c>
      <c r="R196" s="23" t="str">
        <f t="shared" si="47"/>
        <v/>
      </c>
      <c r="S196" s="23" t="str">
        <f t="shared" si="48"/>
        <v/>
      </c>
      <c r="T196" s="23" t="str">
        <f t="shared" si="49"/>
        <v/>
      </c>
      <c r="U196" s="10"/>
    </row>
    <row r="197" spans="3:21" x14ac:dyDescent="0.25">
      <c r="C197" s="8"/>
      <c r="D197" s="8"/>
      <c r="E197" s="8"/>
      <c r="F197" s="8"/>
      <c r="G197" s="25" t="str">
        <f t="shared" si="42"/>
        <v/>
      </c>
      <c r="H197" s="8"/>
      <c r="I197" s="26" t="str">
        <f t="shared" si="43"/>
        <v/>
      </c>
      <c r="J197" s="8"/>
      <c r="K197" s="26" t="str">
        <f t="shared" si="44"/>
        <v/>
      </c>
      <c r="L197" s="8"/>
      <c r="M197" s="26" t="str">
        <f t="shared" si="45"/>
        <v/>
      </c>
      <c r="N197" s="8"/>
      <c r="O197" s="26" t="str">
        <f t="shared" si="46"/>
        <v/>
      </c>
      <c r="P197" s="23" t="str">
        <f t="shared" si="50"/>
        <v/>
      </c>
      <c r="Q197" s="23" t="str">
        <f t="shared" si="51"/>
        <v/>
      </c>
      <c r="R197" s="23" t="str">
        <f t="shared" si="47"/>
        <v/>
      </c>
      <c r="S197" s="23" t="str">
        <f t="shared" si="48"/>
        <v/>
      </c>
      <c r="T197" s="23" t="str">
        <f t="shared" si="49"/>
        <v/>
      </c>
      <c r="U197" s="10"/>
    </row>
    <row r="198" spans="3:21" x14ac:dyDescent="0.25">
      <c r="C198" s="8"/>
      <c r="D198" s="8"/>
      <c r="E198" s="8"/>
      <c r="F198" s="8"/>
      <c r="G198" s="25" t="str">
        <f t="shared" si="42"/>
        <v/>
      </c>
      <c r="H198" s="8"/>
      <c r="I198" s="26" t="str">
        <f t="shared" si="43"/>
        <v/>
      </c>
      <c r="J198" s="8"/>
      <c r="K198" s="26" t="str">
        <f t="shared" si="44"/>
        <v/>
      </c>
      <c r="L198" s="8"/>
      <c r="M198" s="26" t="str">
        <f t="shared" si="45"/>
        <v/>
      </c>
      <c r="N198" s="8"/>
      <c r="O198" s="26" t="str">
        <f t="shared" si="46"/>
        <v/>
      </c>
      <c r="P198" s="23" t="str">
        <f t="shared" si="50"/>
        <v/>
      </c>
      <c r="Q198" s="23" t="str">
        <f t="shared" si="51"/>
        <v/>
      </c>
      <c r="R198" s="23" t="str">
        <f t="shared" si="47"/>
        <v/>
      </c>
      <c r="S198" s="23" t="str">
        <f t="shared" si="48"/>
        <v/>
      </c>
      <c r="T198" s="23" t="str">
        <f t="shared" si="49"/>
        <v/>
      </c>
      <c r="U198" s="10"/>
    </row>
    <row r="199" spans="3:21" x14ac:dyDescent="0.25">
      <c r="C199" s="8"/>
      <c r="D199" s="8"/>
      <c r="E199" s="8"/>
      <c r="F199" s="8"/>
      <c r="G199" s="25" t="str">
        <f t="shared" si="42"/>
        <v/>
      </c>
      <c r="H199" s="8"/>
      <c r="I199" s="26" t="str">
        <f t="shared" si="43"/>
        <v/>
      </c>
      <c r="J199" s="8"/>
      <c r="K199" s="26" t="str">
        <f t="shared" si="44"/>
        <v/>
      </c>
      <c r="L199" s="8"/>
      <c r="M199" s="26" t="str">
        <f t="shared" si="45"/>
        <v/>
      </c>
      <c r="N199" s="8"/>
      <c r="O199" s="26" t="str">
        <f t="shared" si="46"/>
        <v/>
      </c>
      <c r="P199" s="23" t="str">
        <f t="shared" si="50"/>
        <v/>
      </c>
      <c r="Q199" s="23" t="str">
        <f t="shared" si="51"/>
        <v/>
      </c>
      <c r="R199" s="23" t="str">
        <f t="shared" si="47"/>
        <v/>
      </c>
      <c r="S199" s="23" t="str">
        <f t="shared" si="48"/>
        <v/>
      </c>
      <c r="T199" s="23" t="str">
        <f t="shared" si="49"/>
        <v/>
      </c>
      <c r="U199" s="10"/>
    </row>
    <row r="200" spans="3:21" x14ac:dyDescent="0.25">
      <c r="C200" s="8"/>
      <c r="D200" s="8"/>
      <c r="E200" s="8"/>
      <c r="F200" s="8"/>
      <c r="G200" s="25" t="str">
        <f t="shared" si="42"/>
        <v/>
      </c>
      <c r="H200" s="8"/>
      <c r="I200" s="26" t="str">
        <f t="shared" si="43"/>
        <v/>
      </c>
      <c r="J200" s="8"/>
      <c r="K200" s="26" t="str">
        <f t="shared" si="44"/>
        <v/>
      </c>
      <c r="L200" s="8"/>
      <c r="M200" s="26" t="str">
        <f t="shared" si="45"/>
        <v/>
      </c>
      <c r="N200" s="8"/>
      <c r="O200" s="26" t="str">
        <f t="shared" si="46"/>
        <v/>
      </c>
      <c r="P200" s="23" t="str">
        <f t="shared" si="50"/>
        <v/>
      </c>
      <c r="Q200" s="23" t="str">
        <f t="shared" si="51"/>
        <v/>
      </c>
      <c r="R200" s="23" t="str">
        <f t="shared" si="47"/>
        <v/>
      </c>
      <c r="S200" s="23" t="str">
        <f t="shared" si="48"/>
        <v/>
      </c>
      <c r="T200" s="23" t="str">
        <f t="shared" si="49"/>
        <v/>
      </c>
      <c r="U200" s="10"/>
    </row>
    <row r="201" spans="3:21" x14ac:dyDescent="0.25">
      <c r="C201" s="8"/>
      <c r="D201" s="8"/>
      <c r="E201" s="8"/>
      <c r="F201" s="8"/>
      <c r="G201" s="25" t="str">
        <f t="shared" si="42"/>
        <v/>
      </c>
      <c r="H201" s="8"/>
      <c r="I201" s="26" t="str">
        <f t="shared" si="43"/>
        <v/>
      </c>
      <c r="J201" s="8"/>
      <c r="K201" s="26" t="str">
        <f t="shared" si="44"/>
        <v/>
      </c>
      <c r="L201" s="8"/>
      <c r="M201" s="26" t="str">
        <f t="shared" si="45"/>
        <v/>
      </c>
      <c r="N201" s="8"/>
      <c r="O201" s="26" t="str">
        <f t="shared" si="46"/>
        <v/>
      </c>
      <c r="P201" s="23" t="str">
        <f t="shared" si="50"/>
        <v/>
      </c>
      <c r="Q201" s="23" t="str">
        <f t="shared" si="51"/>
        <v/>
      </c>
      <c r="R201" s="23" t="str">
        <f t="shared" si="47"/>
        <v/>
      </c>
      <c r="S201" s="23" t="str">
        <f t="shared" si="48"/>
        <v/>
      </c>
      <c r="T201" s="23" t="str">
        <f t="shared" si="49"/>
        <v/>
      </c>
      <c r="U201" s="10"/>
    </row>
    <row r="202" spans="3:21" x14ac:dyDescent="0.25">
      <c r="C202" s="8"/>
      <c r="D202" s="8"/>
      <c r="E202" s="8"/>
      <c r="F202" s="8"/>
      <c r="G202" s="25" t="str">
        <f t="shared" si="42"/>
        <v/>
      </c>
      <c r="H202" s="8"/>
      <c r="I202" s="26" t="str">
        <f t="shared" si="43"/>
        <v/>
      </c>
      <c r="J202" s="8"/>
      <c r="K202" s="26" t="str">
        <f t="shared" si="44"/>
        <v/>
      </c>
      <c r="L202" s="8"/>
      <c r="M202" s="26" t="str">
        <f t="shared" si="45"/>
        <v/>
      </c>
      <c r="N202" s="8"/>
      <c r="O202" s="26" t="str">
        <f t="shared" si="46"/>
        <v/>
      </c>
      <c r="P202" s="23" t="str">
        <f t="shared" si="50"/>
        <v/>
      </c>
      <c r="Q202" s="23" t="str">
        <f t="shared" si="51"/>
        <v/>
      </c>
      <c r="R202" s="23" t="str">
        <f t="shared" si="47"/>
        <v/>
      </c>
      <c r="S202" s="23" t="str">
        <f t="shared" si="48"/>
        <v/>
      </c>
      <c r="T202" s="23" t="str">
        <f t="shared" si="49"/>
        <v/>
      </c>
      <c r="U202" s="10"/>
    </row>
    <row r="203" spans="3:21" x14ac:dyDescent="0.25">
      <c r="C203" s="8"/>
      <c r="D203" s="8"/>
      <c r="E203" s="8"/>
      <c r="F203" s="8"/>
      <c r="G203" s="25" t="str">
        <f t="shared" si="42"/>
        <v/>
      </c>
      <c r="H203" s="8"/>
      <c r="I203" s="26" t="str">
        <f t="shared" si="43"/>
        <v/>
      </c>
      <c r="J203" s="8"/>
      <c r="K203" s="26" t="str">
        <f t="shared" si="44"/>
        <v/>
      </c>
      <c r="L203" s="8"/>
      <c r="M203" s="26" t="str">
        <f t="shared" si="45"/>
        <v/>
      </c>
      <c r="N203" s="8"/>
      <c r="O203" s="26" t="str">
        <f t="shared" si="46"/>
        <v/>
      </c>
      <c r="P203" s="23" t="str">
        <f t="shared" si="50"/>
        <v/>
      </c>
      <c r="Q203" s="23" t="str">
        <f t="shared" si="51"/>
        <v/>
      </c>
      <c r="R203" s="23" t="str">
        <f t="shared" si="47"/>
        <v/>
      </c>
      <c r="S203" s="23" t="str">
        <f t="shared" si="48"/>
        <v/>
      </c>
      <c r="T203" s="23" t="str">
        <f t="shared" si="49"/>
        <v/>
      </c>
      <c r="U203" s="10"/>
    </row>
    <row r="204" spans="3:21" x14ac:dyDescent="0.25">
      <c r="C204" s="8"/>
      <c r="D204" s="8"/>
      <c r="E204" s="8"/>
      <c r="F204" s="8"/>
      <c r="G204" s="25" t="str">
        <f t="shared" si="42"/>
        <v/>
      </c>
      <c r="H204" s="8"/>
      <c r="I204" s="26" t="str">
        <f t="shared" si="43"/>
        <v/>
      </c>
      <c r="J204" s="8"/>
      <c r="K204" s="26" t="str">
        <f t="shared" si="44"/>
        <v/>
      </c>
      <c r="L204" s="8"/>
      <c r="M204" s="26" t="str">
        <f t="shared" si="45"/>
        <v/>
      </c>
      <c r="N204" s="8"/>
      <c r="O204" s="26" t="str">
        <f t="shared" si="46"/>
        <v/>
      </c>
      <c r="P204" s="23" t="str">
        <f t="shared" si="50"/>
        <v/>
      </c>
      <c r="Q204" s="23" t="str">
        <f t="shared" si="51"/>
        <v/>
      </c>
      <c r="R204" s="23" t="str">
        <f t="shared" si="47"/>
        <v/>
      </c>
      <c r="S204" s="23" t="str">
        <f t="shared" si="48"/>
        <v/>
      </c>
      <c r="T204" s="23" t="str">
        <f t="shared" si="49"/>
        <v/>
      </c>
      <c r="U204" s="10"/>
    </row>
    <row r="205" spans="3:21" x14ac:dyDescent="0.25">
      <c r="C205" s="8"/>
      <c r="D205" s="8"/>
      <c r="E205" s="8"/>
      <c r="F205" s="8"/>
      <c r="G205" s="25" t="str">
        <f t="shared" si="42"/>
        <v/>
      </c>
      <c r="H205" s="8"/>
      <c r="I205" s="26" t="str">
        <f t="shared" si="43"/>
        <v/>
      </c>
      <c r="J205" s="8"/>
      <c r="K205" s="26" t="str">
        <f t="shared" si="44"/>
        <v/>
      </c>
      <c r="L205" s="8"/>
      <c r="M205" s="26" t="str">
        <f t="shared" si="45"/>
        <v/>
      </c>
      <c r="N205" s="8"/>
      <c r="O205" s="26" t="str">
        <f t="shared" si="46"/>
        <v/>
      </c>
      <c r="P205" s="23" t="str">
        <f t="shared" si="50"/>
        <v/>
      </c>
      <c r="Q205" s="23" t="str">
        <f t="shared" si="51"/>
        <v/>
      </c>
      <c r="R205" s="23" t="str">
        <f t="shared" si="47"/>
        <v/>
      </c>
      <c r="S205" s="23" t="str">
        <f t="shared" si="48"/>
        <v/>
      </c>
      <c r="T205" s="23" t="str">
        <f t="shared" si="49"/>
        <v/>
      </c>
      <c r="U205" s="10"/>
    </row>
    <row r="206" spans="3:21" x14ac:dyDescent="0.25">
      <c r="C206" s="8"/>
      <c r="D206" s="8"/>
      <c r="E206" s="8"/>
      <c r="F206" s="8"/>
      <c r="G206" s="25" t="str">
        <f t="shared" si="42"/>
        <v/>
      </c>
      <c r="H206" s="8"/>
      <c r="I206" s="26" t="str">
        <f t="shared" si="43"/>
        <v/>
      </c>
      <c r="J206" s="8"/>
      <c r="K206" s="26" t="str">
        <f t="shared" si="44"/>
        <v/>
      </c>
      <c r="L206" s="8"/>
      <c r="M206" s="26" t="str">
        <f t="shared" si="45"/>
        <v/>
      </c>
      <c r="N206" s="8"/>
      <c r="O206" s="26" t="str">
        <f t="shared" si="46"/>
        <v/>
      </c>
      <c r="P206" s="23" t="str">
        <f t="shared" si="50"/>
        <v/>
      </c>
      <c r="Q206" s="23" t="str">
        <f t="shared" si="51"/>
        <v/>
      </c>
      <c r="R206" s="23" t="str">
        <f t="shared" si="47"/>
        <v/>
      </c>
      <c r="S206" s="23" t="str">
        <f t="shared" si="48"/>
        <v/>
      </c>
      <c r="T206" s="23" t="str">
        <f t="shared" si="49"/>
        <v/>
      </c>
      <c r="U206" s="10"/>
    </row>
    <row r="207" spans="3:21" x14ac:dyDescent="0.25">
      <c r="C207" s="8"/>
      <c r="D207" s="8"/>
      <c r="E207" s="8"/>
      <c r="F207" s="8"/>
      <c r="G207" s="25" t="str">
        <f t="shared" si="42"/>
        <v/>
      </c>
      <c r="H207" s="8"/>
      <c r="I207" s="26" t="str">
        <f t="shared" si="43"/>
        <v/>
      </c>
      <c r="J207" s="8"/>
      <c r="K207" s="26" t="str">
        <f t="shared" si="44"/>
        <v/>
      </c>
      <c r="L207" s="8"/>
      <c r="M207" s="26" t="str">
        <f t="shared" si="45"/>
        <v/>
      </c>
      <c r="N207" s="8"/>
      <c r="O207" s="26" t="str">
        <f t="shared" si="46"/>
        <v/>
      </c>
      <c r="P207" s="23" t="str">
        <f t="shared" si="50"/>
        <v/>
      </c>
      <c r="Q207" s="23" t="str">
        <f t="shared" si="51"/>
        <v/>
      </c>
      <c r="R207" s="23" t="str">
        <f t="shared" si="47"/>
        <v/>
      </c>
      <c r="S207" s="23" t="str">
        <f t="shared" si="48"/>
        <v/>
      </c>
      <c r="T207" s="23" t="str">
        <f t="shared" si="49"/>
        <v/>
      </c>
      <c r="U207" s="10"/>
    </row>
    <row r="208" spans="3:21" x14ac:dyDescent="0.25">
      <c r="C208" s="8"/>
      <c r="D208" s="8"/>
      <c r="E208" s="8"/>
      <c r="F208" s="8"/>
      <c r="G208" s="25" t="str">
        <f t="shared" si="42"/>
        <v/>
      </c>
      <c r="H208" s="8"/>
      <c r="I208" s="26" t="str">
        <f t="shared" si="43"/>
        <v/>
      </c>
      <c r="J208" s="8"/>
      <c r="K208" s="26" t="str">
        <f t="shared" si="44"/>
        <v/>
      </c>
      <c r="L208" s="8"/>
      <c r="M208" s="26" t="str">
        <f t="shared" si="45"/>
        <v/>
      </c>
      <c r="N208" s="8"/>
      <c r="O208" s="26" t="str">
        <f t="shared" si="46"/>
        <v/>
      </c>
      <c r="P208" s="23" t="str">
        <f t="shared" si="50"/>
        <v/>
      </c>
      <c r="Q208" s="23" t="str">
        <f t="shared" si="51"/>
        <v/>
      </c>
      <c r="R208" s="23" t="str">
        <f t="shared" si="47"/>
        <v/>
      </c>
      <c r="S208" s="23" t="str">
        <f t="shared" si="48"/>
        <v/>
      </c>
      <c r="T208" s="23" t="str">
        <f t="shared" si="49"/>
        <v/>
      </c>
      <c r="U208" s="10"/>
    </row>
    <row r="209" spans="3:21" x14ac:dyDescent="0.25">
      <c r="C209" s="8"/>
      <c r="D209" s="8"/>
      <c r="E209" s="8"/>
      <c r="F209" s="8"/>
      <c r="G209" s="25" t="str">
        <f t="shared" si="42"/>
        <v/>
      </c>
      <c r="H209" s="8"/>
      <c r="I209" s="26" t="str">
        <f t="shared" si="43"/>
        <v/>
      </c>
      <c r="J209" s="8"/>
      <c r="K209" s="26" t="str">
        <f t="shared" si="44"/>
        <v/>
      </c>
      <c r="L209" s="8"/>
      <c r="M209" s="26" t="str">
        <f t="shared" si="45"/>
        <v/>
      </c>
      <c r="N209" s="8"/>
      <c r="O209" s="26" t="str">
        <f t="shared" si="46"/>
        <v/>
      </c>
      <c r="P209" s="23" t="str">
        <f t="shared" si="50"/>
        <v/>
      </c>
      <c r="Q209" s="23" t="str">
        <f t="shared" si="51"/>
        <v/>
      </c>
      <c r="R209" s="23" t="str">
        <f t="shared" si="47"/>
        <v/>
      </c>
      <c r="S209" s="23" t="str">
        <f t="shared" si="48"/>
        <v/>
      </c>
      <c r="T209" s="23" t="str">
        <f t="shared" si="49"/>
        <v/>
      </c>
      <c r="U209" s="10"/>
    </row>
    <row r="210" spans="3:21" x14ac:dyDescent="0.25">
      <c r="C210" s="8"/>
      <c r="D210" s="8"/>
      <c r="E210" s="8"/>
      <c r="F210" s="8"/>
      <c r="G210" s="25" t="str">
        <f t="shared" si="42"/>
        <v/>
      </c>
      <c r="H210" s="8"/>
      <c r="I210" s="26" t="str">
        <f t="shared" si="43"/>
        <v/>
      </c>
      <c r="J210" s="8"/>
      <c r="K210" s="26" t="str">
        <f t="shared" si="44"/>
        <v/>
      </c>
      <c r="L210" s="8"/>
      <c r="M210" s="26" t="str">
        <f t="shared" si="45"/>
        <v/>
      </c>
      <c r="N210" s="8"/>
      <c r="O210" s="26" t="str">
        <f t="shared" si="46"/>
        <v/>
      </c>
      <c r="P210" s="23" t="str">
        <f t="shared" si="50"/>
        <v/>
      </c>
      <c r="Q210" s="23" t="str">
        <f t="shared" si="51"/>
        <v/>
      </c>
      <c r="R210" s="23" t="str">
        <f t="shared" si="47"/>
        <v/>
      </c>
      <c r="S210" s="23" t="str">
        <f t="shared" si="48"/>
        <v/>
      </c>
      <c r="T210" s="23" t="str">
        <f t="shared" si="49"/>
        <v/>
      </c>
      <c r="U210" s="10"/>
    </row>
    <row r="211" spans="3:21" x14ac:dyDescent="0.25">
      <c r="C211" s="8"/>
      <c r="D211" s="8"/>
      <c r="E211" s="8"/>
      <c r="F211" s="8"/>
      <c r="G211" s="25" t="str">
        <f t="shared" si="42"/>
        <v/>
      </c>
      <c r="H211" s="8"/>
      <c r="I211" s="26" t="str">
        <f t="shared" si="43"/>
        <v/>
      </c>
      <c r="J211" s="8"/>
      <c r="K211" s="26" t="str">
        <f t="shared" si="44"/>
        <v/>
      </c>
      <c r="L211" s="8"/>
      <c r="M211" s="26" t="str">
        <f t="shared" si="45"/>
        <v/>
      </c>
      <c r="N211" s="8"/>
      <c r="O211" s="26" t="str">
        <f t="shared" si="46"/>
        <v/>
      </c>
      <c r="P211" s="23" t="str">
        <f t="shared" si="50"/>
        <v/>
      </c>
      <c r="Q211" s="23" t="str">
        <f t="shared" si="51"/>
        <v/>
      </c>
      <c r="R211" s="23" t="str">
        <f t="shared" si="47"/>
        <v/>
      </c>
      <c r="S211" s="23" t="str">
        <f t="shared" si="48"/>
        <v/>
      </c>
      <c r="T211" s="23" t="str">
        <f t="shared" si="49"/>
        <v/>
      </c>
      <c r="U211" s="10"/>
    </row>
    <row r="212" spans="3:21" x14ac:dyDescent="0.25">
      <c r="C212" s="8"/>
      <c r="D212" s="8"/>
      <c r="E212" s="8"/>
      <c r="F212" s="8"/>
      <c r="G212" s="25" t="str">
        <f t="shared" si="42"/>
        <v/>
      </c>
      <c r="H212" s="8"/>
      <c r="I212" s="26" t="str">
        <f t="shared" si="43"/>
        <v/>
      </c>
      <c r="J212" s="8"/>
      <c r="K212" s="26" t="str">
        <f t="shared" si="44"/>
        <v/>
      </c>
      <c r="L212" s="8"/>
      <c r="M212" s="26" t="str">
        <f t="shared" si="45"/>
        <v/>
      </c>
      <c r="N212" s="8"/>
      <c r="O212" s="26" t="str">
        <f t="shared" si="46"/>
        <v/>
      </c>
      <c r="P212" s="23" t="str">
        <f t="shared" si="50"/>
        <v/>
      </c>
      <c r="Q212" s="23" t="str">
        <f t="shared" si="51"/>
        <v/>
      </c>
      <c r="R212" s="23" t="str">
        <f t="shared" si="47"/>
        <v/>
      </c>
      <c r="S212" s="23" t="str">
        <f t="shared" si="48"/>
        <v/>
      </c>
      <c r="T212" s="23" t="str">
        <f t="shared" si="49"/>
        <v/>
      </c>
      <c r="U212" s="10"/>
    </row>
    <row r="213" spans="3:21" x14ac:dyDescent="0.25">
      <c r="C213" s="8"/>
      <c r="D213" s="8"/>
      <c r="E213" s="8"/>
      <c r="F213" s="8"/>
      <c r="G213" s="25" t="str">
        <f t="shared" si="42"/>
        <v/>
      </c>
      <c r="H213" s="8"/>
      <c r="I213" s="26" t="str">
        <f t="shared" si="43"/>
        <v/>
      </c>
      <c r="J213" s="8"/>
      <c r="K213" s="26" t="str">
        <f t="shared" si="44"/>
        <v/>
      </c>
      <c r="L213" s="8"/>
      <c r="M213" s="26" t="str">
        <f t="shared" si="45"/>
        <v/>
      </c>
      <c r="N213" s="8"/>
      <c r="O213" s="26" t="str">
        <f t="shared" si="46"/>
        <v/>
      </c>
      <c r="P213" s="23" t="str">
        <f t="shared" si="50"/>
        <v/>
      </c>
      <c r="Q213" s="23" t="str">
        <f t="shared" si="51"/>
        <v/>
      </c>
      <c r="R213" s="23" t="str">
        <f t="shared" si="47"/>
        <v/>
      </c>
      <c r="S213" s="23" t="str">
        <f t="shared" si="48"/>
        <v/>
      </c>
      <c r="T213" s="23" t="str">
        <f t="shared" si="49"/>
        <v/>
      </c>
      <c r="U213" s="10"/>
    </row>
    <row r="214" spans="3:21" x14ac:dyDescent="0.25">
      <c r="C214" s="8"/>
      <c r="D214" s="8"/>
      <c r="E214" s="8"/>
      <c r="F214" s="8"/>
      <c r="G214" s="25" t="str">
        <f t="shared" si="42"/>
        <v/>
      </c>
      <c r="H214" s="8"/>
      <c r="I214" s="26" t="str">
        <f t="shared" si="43"/>
        <v/>
      </c>
      <c r="J214" s="8"/>
      <c r="K214" s="26" t="str">
        <f t="shared" si="44"/>
        <v/>
      </c>
      <c r="L214" s="8"/>
      <c r="M214" s="26" t="str">
        <f t="shared" si="45"/>
        <v/>
      </c>
      <c r="N214" s="8"/>
      <c r="O214" s="26" t="str">
        <f t="shared" si="46"/>
        <v/>
      </c>
      <c r="P214" s="23" t="str">
        <f t="shared" si="50"/>
        <v/>
      </c>
      <c r="Q214" s="23" t="str">
        <f t="shared" si="51"/>
        <v/>
      </c>
      <c r="R214" s="23" t="str">
        <f t="shared" si="47"/>
        <v/>
      </c>
      <c r="S214" s="23" t="str">
        <f t="shared" si="48"/>
        <v/>
      </c>
      <c r="T214" s="23" t="str">
        <f t="shared" si="49"/>
        <v/>
      </c>
      <c r="U214" s="10"/>
    </row>
    <row r="215" spans="3:21" x14ac:dyDescent="0.25">
      <c r="C215" s="8"/>
      <c r="D215" s="8"/>
      <c r="E215" s="8"/>
      <c r="F215" s="8"/>
      <c r="G215" s="25" t="str">
        <f t="shared" si="42"/>
        <v/>
      </c>
      <c r="H215" s="8"/>
      <c r="I215" s="26" t="str">
        <f t="shared" si="43"/>
        <v/>
      </c>
      <c r="J215" s="8"/>
      <c r="K215" s="26" t="str">
        <f t="shared" si="44"/>
        <v/>
      </c>
      <c r="L215" s="8"/>
      <c r="M215" s="26" t="str">
        <f t="shared" si="45"/>
        <v/>
      </c>
      <c r="N215" s="8"/>
      <c r="O215" s="26" t="str">
        <f t="shared" si="46"/>
        <v/>
      </c>
      <c r="P215" s="23" t="str">
        <f t="shared" si="50"/>
        <v/>
      </c>
      <c r="Q215" s="23" t="str">
        <f t="shared" si="51"/>
        <v/>
      </c>
      <c r="R215" s="23" t="str">
        <f t="shared" si="47"/>
        <v/>
      </c>
      <c r="S215" s="23" t="str">
        <f t="shared" si="48"/>
        <v/>
      </c>
      <c r="T215" s="23" t="str">
        <f t="shared" si="49"/>
        <v/>
      </c>
      <c r="U215" s="10"/>
    </row>
    <row r="216" spans="3:21" x14ac:dyDescent="0.25">
      <c r="C216" s="8"/>
      <c r="D216" s="8"/>
      <c r="E216" s="8"/>
      <c r="F216" s="8"/>
      <c r="G216" s="25" t="str">
        <f t="shared" si="42"/>
        <v/>
      </c>
      <c r="H216" s="8"/>
      <c r="I216" s="26" t="str">
        <f t="shared" si="43"/>
        <v/>
      </c>
      <c r="J216" s="8"/>
      <c r="K216" s="26" t="str">
        <f t="shared" si="44"/>
        <v/>
      </c>
      <c r="L216" s="8"/>
      <c r="M216" s="26" t="str">
        <f t="shared" si="45"/>
        <v/>
      </c>
      <c r="N216" s="8"/>
      <c r="O216" s="26" t="str">
        <f t="shared" si="46"/>
        <v/>
      </c>
      <c r="P216" s="23" t="str">
        <f t="shared" si="50"/>
        <v/>
      </c>
      <c r="Q216" s="23" t="str">
        <f t="shared" si="51"/>
        <v/>
      </c>
      <c r="R216" s="23" t="str">
        <f t="shared" si="47"/>
        <v/>
      </c>
      <c r="S216" s="23" t="str">
        <f t="shared" si="48"/>
        <v/>
      </c>
      <c r="T216" s="23" t="str">
        <f t="shared" si="49"/>
        <v/>
      </c>
      <c r="U216" s="10"/>
    </row>
    <row r="217" spans="3:21" x14ac:dyDescent="0.25">
      <c r="C217" s="8"/>
      <c r="D217" s="8"/>
      <c r="E217" s="8"/>
      <c r="F217" s="8"/>
      <c r="G217" s="25" t="str">
        <f t="shared" si="42"/>
        <v/>
      </c>
      <c r="H217" s="8"/>
      <c r="I217" s="26" t="str">
        <f t="shared" si="43"/>
        <v/>
      </c>
      <c r="J217" s="8"/>
      <c r="K217" s="26" t="str">
        <f t="shared" si="44"/>
        <v/>
      </c>
      <c r="L217" s="8"/>
      <c r="M217" s="26" t="str">
        <f t="shared" si="45"/>
        <v/>
      </c>
      <c r="N217" s="8"/>
      <c r="O217" s="26" t="str">
        <f t="shared" si="46"/>
        <v/>
      </c>
      <c r="P217" s="23" t="str">
        <f t="shared" si="50"/>
        <v/>
      </c>
      <c r="Q217" s="23" t="str">
        <f t="shared" si="51"/>
        <v/>
      </c>
      <c r="R217" s="23" t="str">
        <f t="shared" si="47"/>
        <v/>
      </c>
      <c r="S217" s="23" t="str">
        <f t="shared" si="48"/>
        <v/>
      </c>
      <c r="T217" s="23" t="str">
        <f t="shared" si="49"/>
        <v/>
      </c>
      <c r="U217" s="10"/>
    </row>
    <row r="218" spans="3:21" x14ac:dyDescent="0.25">
      <c r="C218" s="8"/>
      <c r="D218" s="8"/>
      <c r="E218" s="8"/>
      <c r="F218" s="8"/>
      <c r="G218" s="25" t="str">
        <f t="shared" si="42"/>
        <v/>
      </c>
      <c r="H218" s="8"/>
      <c r="I218" s="26" t="str">
        <f t="shared" si="43"/>
        <v/>
      </c>
      <c r="J218" s="8"/>
      <c r="K218" s="26" t="str">
        <f t="shared" si="44"/>
        <v/>
      </c>
      <c r="L218" s="8"/>
      <c r="M218" s="26" t="str">
        <f t="shared" si="45"/>
        <v/>
      </c>
      <c r="N218" s="8"/>
      <c r="O218" s="26" t="str">
        <f t="shared" si="46"/>
        <v/>
      </c>
      <c r="P218" s="23" t="str">
        <f t="shared" si="50"/>
        <v/>
      </c>
      <c r="Q218" s="23" t="str">
        <f t="shared" si="51"/>
        <v/>
      </c>
      <c r="R218" s="23" t="str">
        <f t="shared" si="47"/>
        <v/>
      </c>
      <c r="S218" s="23" t="str">
        <f t="shared" si="48"/>
        <v/>
      </c>
      <c r="T218" s="23" t="str">
        <f t="shared" si="49"/>
        <v/>
      </c>
      <c r="U218" s="10"/>
    </row>
    <row r="219" spans="3:21" x14ac:dyDescent="0.25">
      <c r="C219" s="8"/>
      <c r="D219" s="8"/>
      <c r="E219" s="8"/>
      <c r="F219" s="8"/>
      <c r="G219" s="25" t="str">
        <f t="shared" si="42"/>
        <v/>
      </c>
      <c r="H219" s="8"/>
      <c r="I219" s="26" t="str">
        <f t="shared" si="43"/>
        <v/>
      </c>
      <c r="J219" s="8"/>
      <c r="K219" s="26" t="str">
        <f t="shared" si="44"/>
        <v/>
      </c>
      <c r="L219" s="8"/>
      <c r="M219" s="26" t="str">
        <f t="shared" si="45"/>
        <v/>
      </c>
      <c r="N219" s="8"/>
      <c r="O219" s="26" t="str">
        <f t="shared" si="46"/>
        <v/>
      </c>
      <c r="P219" s="23" t="str">
        <f t="shared" si="50"/>
        <v/>
      </c>
      <c r="Q219" s="23" t="str">
        <f t="shared" si="51"/>
        <v/>
      </c>
      <c r="R219" s="23" t="str">
        <f t="shared" si="47"/>
        <v/>
      </c>
      <c r="S219" s="23" t="str">
        <f t="shared" si="48"/>
        <v/>
      </c>
      <c r="T219" s="23" t="str">
        <f t="shared" si="49"/>
        <v/>
      </c>
      <c r="U219" s="10"/>
    </row>
    <row r="220" spans="3:21" x14ac:dyDescent="0.25">
      <c r="C220" s="8"/>
      <c r="D220" s="8"/>
      <c r="E220" s="8"/>
      <c r="F220" s="8"/>
      <c r="G220" s="25" t="str">
        <f t="shared" si="42"/>
        <v/>
      </c>
      <c r="H220" s="8"/>
      <c r="I220" s="26" t="str">
        <f t="shared" si="43"/>
        <v/>
      </c>
      <c r="J220" s="8"/>
      <c r="K220" s="26" t="str">
        <f t="shared" si="44"/>
        <v/>
      </c>
      <c r="L220" s="8"/>
      <c r="M220" s="26" t="str">
        <f t="shared" si="45"/>
        <v/>
      </c>
      <c r="N220" s="8"/>
      <c r="O220" s="26" t="str">
        <f t="shared" si="46"/>
        <v/>
      </c>
      <c r="P220" s="23" t="str">
        <f t="shared" si="50"/>
        <v/>
      </c>
      <c r="Q220" s="23" t="str">
        <f t="shared" si="51"/>
        <v/>
      </c>
      <c r="R220" s="23" t="str">
        <f t="shared" si="47"/>
        <v/>
      </c>
      <c r="S220" s="23" t="str">
        <f t="shared" si="48"/>
        <v/>
      </c>
      <c r="T220" s="23" t="str">
        <f t="shared" si="49"/>
        <v/>
      </c>
      <c r="U220" s="10"/>
    </row>
    <row r="221" spans="3:21" x14ac:dyDescent="0.25">
      <c r="C221" s="8"/>
      <c r="D221" s="8"/>
      <c r="E221" s="8"/>
      <c r="F221" s="8"/>
      <c r="G221" s="25" t="str">
        <f t="shared" si="42"/>
        <v/>
      </c>
      <c r="H221" s="8"/>
      <c r="I221" s="26" t="str">
        <f t="shared" si="43"/>
        <v/>
      </c>
      <c r="J221" s="8"/>
      <c r="K221" s="26" t="str">
        <f t="shared" si="44"/>
        <v/>
      </c>
      <c r="L221" s="8"/>
      <c r="M221" s="26" t="str">
        <f t="shared" si="45"/>
        <v/>
      </c>
      <c r="N221" s="8"/>
      <c r="O221" s="26" t="str">
        <f t="shared" si="46"/>
        <v/>
      </c>
      <c r="P221" s="23" t="str">
        <f t="shared" si="50"/>
        <v/>
      </c>
      <c r="Q221" s="23" t="str">
        <f t="shared" si="51"/>
        <v/>
      </c>
      <c r="R221" s="23" t="str">
        <f t="shared" si="47"/>
        <v/>
      </c>
      <c r="S221" s="23" t="str">
        <f t="shared" si="48"/>
        <v/>
      </c>
      <c r="T221" s="23" t="str">
        <f t="shared" si="49"/>
        <v/>
      </c>
      <c r="U221" s="10"/>
    </row>
    <row r="222" spans="3:21" x14ac:dyDescent="0.25">
      <c r="C222" s="8"/>
      <c r="D222" s="8"/>
      <c r="E222" s="8"/>
      <c r="F222" s="8"/>
      <c r="G222" s="25" t="str">
        <f t="shared" si="42"/>
        <v/>
      </c>
      <c r="H222" s="8"/>
      <c r="I222" s="26" t="str">
        <f t="shared" si="43"/>
        <v/>
      </c>
      <c r="J222" s="8"/>
      <c r="K222" s="26" t="str">
        <f t="shared" si="44"/>
        <v/>
      </c>
      <c r="L222" s="8"/>
      <c r="M222" s="26" t="str">
        <f t="shared" si="45"/>
        <v/>
      </c>
      <c r="N222" s="8"/>
      <c r="O222" s="26" t="str">
        <f t="shared" si="46"/>
        <v/>
      </c>
      <c r="P222" s="23" t="str">
        <f t="shared" si="50"/>
        <v/>
      </c>
      <c r="Q222" s="23" t="str">
        <f t="shared" si="51"/>
        <v/>
      </c>
      <c r="R222" s="23" t="str">
        <f t="shared" si="47"/>
        <v/>
      </c>
      <c r="S222" s="23" t="str">
        <f t="shared" si="48"/>
        <v/>
      </c>
      <c r="T222" s="23" t="str">
        <f t="shared" si="49"/>
        <v/>
      </c>
      <c r="U222" s="10"/>
    </row>
    <row r="223" spans="3:21" x14ac:dyDescent="0.25">
      <c r="C223" s="8"/>
      <c r="D223" s="8"/>
      <c r="E223" s="8"/>
      <c r="F223" s="8"/>
      <c r="G223" s="25" t="str">
        <f t="shared" ref="G223:G286" si="52">IF(F223="","",VLOOKUP(F223,$Y$4:$Z$15,2,TRUE))</f>
        <v/>
      </c>
      <c r="H223" s="8"/>
      <c r="I223" s="26" t="str">
        <f t="shared" ref="I223:I286" si="53">IF(H223="","",VLOOKUP(H223,$Y$4:$Z$15,2,TRUE))</f>
        <v/>
      </c>
      <c r="J223" s="8"/>
      <c r="K223" s="26" t="str">
        <f t="shared" ref="K223:K286" si="54">IF(J223="","",VLOOKUP(J223,$Y$4:$Z$15,2,TRUE))</f>
        <v/>
      </c>
      <c r="L223" s="8"/>
      <c r="M223" s="26" t="str">
        <f t="shared" ref="M223:M286" si="55">IF(L223="","",VLOOKUP(L223,$Y$4:$Z$15,2,TRUE))</f>
        <v/>
      </c>
      <c r="N223" s="8"/>
      <c r="O223" s="26" t="str">
        <f t="shared" ref="O223:O286" si="56">IF(N223="","",VLOOKUP(N223,$Y$4:$Z$15,2,TRUE))</f>
        <v/>
      </c>
      <c r="P223" s="23" t="str">
        <f t="shared" si="50"/>
        <v/>
      </c>
      <c r="Q223" s="23" t="str">
        <f t="shared" si="51"/>
        <v/>
      </c>
      <c r="R223" s="23" t="str">
        <f t="shared" ref="R223:R286" si="57">IF(Q223="","",VLOOKUP(Q223,$W$4:$X$15,2,TRUE))</f>
        <v/>
      </c>
      <c r="S223" s="23" t="str">
        <f t="shared" ref="S223:S286" si="58">IF(P223="","",RANK(P223,$P$5:$P$998,0))</f>
        <v/>
      </c>
      <c r="T223" s="23" t="str">
        <f t="shared" ref="T223:T286" si="59">IFERROR(VLOOKUP(R223,$AA$4:$AB$15,2,FALSE),"")</f>
        <v/>
      </c>
      <c r="U223" s="10"/>
    </row>
    <row r="224" spans="3:21" x14ac:dyDescent="0.25">
      <c r="C224" s="8"/>
      <c r="D224" s="8"/>
      <c r="E224" s="8"/>
      <c r="F224" s="8"/>
      <c r="G224" s="25" t="str">
        <f t="shared" si="52"/>
        <v/>
      </c>
      <c r="H224" s="8"/>
      <c r="I224" s="26" t="str">
        <f t="shared" si="53"/>
        <v/>
      </c>
      <c r="J224" s="8"/>
      <c r="K224" s="26" t="str">
        <f t="shared" si="54"/>
        <v/>
      </c>
      <c r="L224" s="8"/>
      <c r="M224" s="26" t="str">
        <f t="shared" si="55"/>
        <v/>
      </c>
      <c r="N224" s="8"/>
      <c r="O224" s="26" t="str">
        <f t="shared" si="56"/>
        <v/>
      </c>
      <c r="P224" s="23" t="str">
        <f t="shared" si="50"/>
        <v/>
      </c>
      <c r="Q224" s="23" t="str">
        <f t="shared" si="51"/>
        <v/>
      </c>
      <c r="R224" s="23" t="str">
        <f t="shared" si="57"/>
        <v/>
      </c>
      <c r="S224" s="23" t="str">
        <f t="shared" si="58"/>
        <v/>
      </c>
      <c r="T224" s="23" t="str">
        <f t="shared" si="59"/>
        <v/>
      </c>
      <c r="U224" s="10"/>
    </row>
    <row r="225" spans="3:21" x14ac:dyDescent="0.25">
      <c r="C225" s="8"/>
      <c r="D225" s="8"/>
      <c r="E225" s="8"/>
      <c r="F225" s="8"/>
      <c r="G225" s="25" t="str">
        <f t="shared" si="52"/>
        <v/>
      </c>
      <c r="H225" s="8"/>
      <c r="I225" s="26" t="str">
        <f t="shared" si="53"/>
        <v/>
      </c>
      <c r="J225" s="8"/>
      <c r="K225" s="26" t="str">
        <f t="shared" si="54"/>
        <v/>
      </c>
      <c r="L225" s="8"/>
      <c r="M225" s="26" t="str">
        <f t="shared" si="55"/>
        <v/>
      </c>
      <c r="N225" s="8"/>
      <c r="O225" s="26" t="str">
        <f t="shared" si="56"/>
        <v/>
      </c>
      <c r="P225" s="23" t="str">
        <f t="shared" si="50"/>
        <v/>
      </c>
      <c r="Q225" s="23" t="str">
        <f t="shared" si="51"/>
        <v/>
      </c>
      <c r="R225" s="23" t="str">
        <f t="shared" si="57"/>
        <v/>
      </c>
      <c r="S225" s="23" t="str">
        <f t="shared" si="58"/>
        <v/>
      </c>
      <c r="T225" s="23" t="str">
        <f t="shared" si="59"/>
        <v/>
      </c>
      <c r="U225" s="10"/>
    </row>
    <row r="226" spans="3:21" x14ac:dyDescent="0.25">
      <c r="C226" s="8"/>
      <c r="D226" s="8"/>
      <c r="E226" s="8"/>
      <c r="F226" s="8"/>
      <c r="G226" s="25" t="str">
        <f t="shared" si="52"/>
        <v/>
      </c>
      <c r="H226" s="8"/>
      <c r="I226" s="26" t="str">
        <f t="shared" si="53"/>
        <v/>
      </c>
      <c r="J226" s="8"/>
      <c r="K226" s="26" t="str">
        <f t="shared" si="54"/>
        <v/>
      </c>
      <c r="L226" s="8"/>
      <c r="M226" s="26" t="str">
        <f t="shared" si="55"/>
        <v/>
      </c>
      <c r="N226" s="8"/>
      <c r="O226" s="26" t="str">
        <f t="shared" si="56"/>
        <v/>
      </c>
      <c r="P226" s="23" t="str">
        <f t="shared" si="50"/>
        <v/>
      </c>
      <c r="Q226" s="23" t="str">
        <f t="shared" si="51"/>
        <v/>
      </c>
      <c r="R226" s="23" t="str">
        <f t="shared" si="57"/>
        <v/>
      </c>
      <c r="S226" s="23" t="str">
        <f t="shared" si="58"/>
        <v/>
      </c>
      <c r="T226" s="23" t="str">
        <f t="shared" si="59"/>
        <v/>
      </c>
      <c r="U226" s="10"/>
    </row>
    <row r="227" spans="3:21" x14ac:dyDescent="0.25">
      <c r="C227" s="8"/>
      <c r="D227" s="8"/>
      <c r="E227" s="8"/>
      <c r="F227" s="8"/>
      <c r="G227" s="25" t="str">
        <f t="shared" si="52"/>
        <v/>
      </c>
      <c r="H227" s="8"/>
      <c r="I227" s="26" t="str">
        <f t="shared" si="53"/>
        <v/>
      </c>
      <c r="J227" s="8"/>
      <c r="K227" s="26" t="str">
        <f t="shared" si="54"/>
        <v/>
      </c>
      <c r="L227" s="8"/>
      <c r="M227" s="26" t="str">
        <f t="shared" si="55"/>
        <v/>
      </c>
      <c r="N227" s="8"/>
      <c r="O227" s="26" t="str">
        <f t="shared" si="56"/>
        <v/>
      </c>
      <c r="P227" s="23" t="str">
        <f t="shared" si="50"/>
        <v/>
      </c>
      <c r="Q227" s="23" t="str">
        <f t="shared" si="51"/>
        <v/>
      </c>
      <c r="R227" s="23" t="str">
        <f t="shared" si="57"/>
        <v/>
      </c>
      <c r="S227" s="23" t="str">
        <f t="shared" si="58"/>
        <v/>
      </c>
      <c r="T227" s="23" t="str">
        <f t="shared" si="59"/>
        <v/>
      </c>
      <c r="U227" s="10"/>
    </row>
    <row r="228" spans="3:21" x14ac:dyDescent="0.25">
      <c r="C228" s="8"/>
      <c r="D228" s="8"/>
      <c r="E228" s="8"/>
      <c r="F228" s="8"/>
      <c r="G228" s="25" t="str">
        <f t="shared" si="52"/>
        <v/>
      </c>
      <c r="H228" s="8"/>
      <c r="I228" s="26" t="str">
        <f t="shared" si="53"/>
        <v/>
      </c>
      <c r="J228" s="8"/>
      <c r="K228" s="26" t="str">
        <f t="shared" si="54"/>
        <v/>
      </c>
      <c r="L228" s="8"/>
      <c r="M228" s="26" t="str">
        <f t="shared" si="55"/>
        <v/>
      </c>
      <c r="N228" s="8"/>
      <c r="O228" s="26" t="str">
        <f t="shared" si="56"/>
        <v/>
      </c>
      <c r="P228" s="23" t="str">
        <f t="shared" si="50"/>
        <v/>
      </c>
      <c r="Q228" s="23" t="str">
        <f t="shared" si="51"/>
        <v/>
      </c>
      <c r="R228" s="23" t="str">
        <f t="shared" si="57"/>
        <v/>
      </c>
      <c r="S228" s="23" t="str">
        <f t="shared" si="58"/>
        <v/>
      </c>
      <c r="T228" s="23" t="str">
        <f t="shared" si="59"/>
        <v/>
      </c>
      <c r="U228" s="10"/>
    </row>
    <row r="229" spans="3:21" x14ac:dyDescent="0.25">
      <c r="C229" s="8"/>
      <c r="D229" s="8"/>
      <c r="E229" s="8"/>
      <c r="F229" s="8"/>
      <c r="G229" s="25" t="str">
        <f t="shared" si="52"/>
        <v/>
      </c>
      <c r="H229" s="8"/>
      <c r="I229" s="26" t="str">
        <f t="shared" si="53"/>
        <v/>
      </c>
      <c r="J229" s="8"/>
      <c r="K229" s="26" t="str">
        <f t="shared" si="54"/>
        <v/>
      </c>
      <c r="L229" s="8"/>
      <c r="M229" s="26" t="str">
        <f t="shared" si="55"/>
        <v/>
      </c>
      <c r="N229" s="8"/>
      <c r="O229" s="26" t="str">
        <f t="shared" si="56"/>
        <v/>
      </c>
      <c r="P229" s="23" t="str">
        <f t="shared" si="50"/>
        <v/>
      </c>
      <c r="Q229" s="23" t="str">
        <f t="shared" si="51"/>
        <v/>
      </c>
      <c r="R229" s="23" t="str">
        <f t="shared" si="57"/>
        <v/>
      </c>
      <c r="S229" s="23" t="str">
        <f t="shared" si="58"/>
        <v/>
      </c>
      <c r="T229" s="23" t="str">
        <f t="shared" si="59"/>
        <v/>
      </c>
      <c r="U229" s="10"/>
    </row>
    <row r="230" spans="3:21" x14ac:dyDescent="0.25">
      <c r="C230" s="8"/>
      <c r="D230" s="8"/>
      <c r="E230" s="8"/>
      <c r="F230" s="8"/>
      <c r="G230" s="25" t="str">
        <f t="shared" si="52"/>
        <v/>
      </c>
      <c r="H230" s="8"/>
      <c r="I230" s="26" t="str">
        <f t="shared" si="53"/>
        <v/>
      </c>
      <c r="J230" s="8"/>
      <c r="K230" s="26" t="str">
        <f t="shared" si="54"/>
        <v/>
      </c>
      <c r="L230" s="8"/>
      <c r="M230" s="26" t="str">
        <f t="shared" si="55"/>
        <v/>
      </c>
      <c r="N230" s="8"/>
      <c r="O230" s="26" t="str">
        <f t="shared" si="56"/>
        <v/>
      </c>
      <c r="P230" s="23" t="str">
        <f t="shared" si="50"/>
        <v/>
      </c>
      <c r="Q230" s="23" t="str">
        <f t="shared" si="51"/>
        <v/>
      </c>
      <c r="R230" s="23" t="str">
        <f t="shared" si="57"/>
        <v/>
      </c>
      <c r="S230" s="23" t="str">
        <f t="shared" si="58"/>
        <v/>
      </c>
      <c r="T230" s="23" t="str">
        <f t="shared" si="59"/>
        <v/>
      </c>
      <c r="U230" s="10"/>
    </row>
    <row r="231" spans="3:21" x14ac:dyDescent="0.25">
      <c r="C231" s="8"/>
      <c r="D231" s="8"/>
      <c r="E231" s="8"/>
      <c r="F231" s="8"/>
      <c r="G231" s="25" t="str">
        <f t="shared" si="52"/>
        <v/>
      </c>
      <c r="H231" s="8"/>
      <c r="I231" s="26" t="str">
        <f t="shared" si="53"/>
        <v/>
      </c>
      <c r="J231" s="8"/>
      <c r="K231" s="26" t="str">
        <f t="shared" si="54"/>
        <v/>
      </c>
      <c r="L231" s="8"/>
      <c r="M231" s="26" t="str">
        <f t="shared" si="55"/>
        <v/>
      </c>
      <c r="N231" s="8"/>
      <c r="O231" s="26" t="str">
        <f t="shared" si="56"/>
        <v/>
      </c>
      <c r="P231" s="23" t="str">
        <f t="shared" si="50"/>
        <v/>
      </c>
      <c r="Q231" s="23" t="str">
        <f t="shared" si="51"/>
        <v/>
      </c>
      <c r="R231" s="23" t="str">
        <f t="shared" si="57"/>
        <v/>
      </c>
      <c r="S231" s="23" t="str">
        <f t="shared" si="58"/>
        <v/>
      </c>
      <c r="T231" s="23" t="str">
        <f t="shared" si="59"/>
        <v/>
      </c>
      <c r="U231" s="10"/>
    </row>
    <row r="232" spans="3:21" x14ac:dyDescent="0.25">
      <c r="C232" s="8"/>
      <c r="D232" s="8"/>
      <c r="E232" s="8"/>
      <c r="F232" s="8"/>
      <c r="G232" s="25" t="str">
        <f t="shared" si="52"/>
        <v/>
      </c>
      <c r="H232" s="8"/>
      <c r="I232" s="26" t="str">
        <f t="shared" si="53"/>
        <v/>
      </c>
      <c r="J232" s="8"/>
      <c r="K232" s="26" t="str">
        <f t="shared" si="54"/>
        <v/>
      </c>
      <c r="L232" s="8"/>
      <c r="M232" s="26" t="str">
        <f t="shared" si="55"/>
        <v/>
      </c>
      <c r="N232" s="8"/>
      <c r="O232" s="26" t="str">
        <f t="shared" si="56"/>
        <v/>
      </c>
      <c r="P232" s="23" t="str">
        <f t="shared" si="50"/>
        <v/>
      </c>
      <c r="Q232" s="23" t="str">
        <f t="shared" si="51"/>
        <v/>
      </c>
      <c r="R232" s="23" t="str">
        <f t="shared" si="57"/>
        <v/>
      </c>
      <c r="S232" s="23" t="str">
        <f t="shared" si="58"/>
        <v/>
      </c>
      <c r="T232" s="23" t="str">
        <f t="shared" si="59"/>
        <v/>
      </c>
      <c r="U232" s="10"/>
    </row>
    <row r="233" spans="3:21" x14ac:dyDescent="0.25">
      <c r="C233" s="8"/>
      <c r="D233" s="8"/>
      <c r="E233" s="8"/>
      <c r="F233" s="8"/>
      <c r="G233" s="25" t="str">
        <f t="shared" si="52"/>
        <v/>
      </c>
      <c r="H233" s="8"/>
      <c r="I233" s="26" t="str">
        <f t="shared" si="53"/>
        <v/>
      </c>
      <c r="J233" s="8"/>
      <c r="K233" s="26" t="str">
        <f t="shared" si="54"/>
        <v/>
      </c>
      <c r="L233" s="8"/>
      <c r="M233" s="26" t="str">
        <f t="shared" si="55"/>
        <v/>
      </c>
      <c r="N233" s="8"/>
      <c r="O233" s="26" t="str">
        <f t="shared" si="56"/>
        <v/>
      </c>
      <c r="P233" s="23" t="str">
        <f t="shared" si="50"/>
        <v/>
      </c>
      <c r="Q233" s="23" t="str">
        <f t="shared" si="51"/>
        <v/>
      </c>
      <c r="R233" s="23" t="str">
        <f t="shared" si="57"/>
        <v/>
      </c>
      <c r="S233" s="23" t="str">
        <f t="shared" si="58"/>
        <v/>
      </c>
      <c r="T233" s="23" t="str">
        <f t="shared" si="59"/>
        <v/>
      </c>
      <c r="U233" s="10"/>
    </row>
    <row r="234" spans="3:21" x14ac:dyDescent="0.25">
      <c r="C234" s="8"/>
      <c r="D234" s="8"/>
      <c r="E234" s="8"/>
      <c r="F234" s="8"/>
      <c r="G234" s="25" t="str">
        <f t="shared" si="52"/>
        <v/>
      </c>
      <c r="H234" s="8"/>
      <c r="I234" s="26" t="str">
        <f t="shared" si="53"/>
        <v/>
      </c>
      <c r="J234" s="8"/>
      <c r="K234" s="26" t="str">
        <f t="shared" si="54"/>
        <v/>
      </c>
      <c r="L234" s="8"/>
      <c r="M234" s="26" t="str">
        <f t="shared" si="55"/>
        <v/>
      </c>
      <c r="N234" s="8"/>
      <c r="O234" s="26" t="str">
        <f t="shared" si="56"/>
        <v/>
      </c>
      <c r="P234" s="23" t="str">
        <f t="shared" si="50"/>
        <v/>
      </c>
      <c r="Q234" s="23" t="str">
        <f t="shared" si="51"/>
        <v/>
      </c>
      <c r="R234" s="23" t="str">
        <f t="shared" si="57"/>
        <v/>
      </c>
      <c r="S234" s="23" t="str">
        <f t="shared" si="58"/>
        <v/>
      </c>
      <c r="T234" s="23" t="str">
        <f t="shared" si="59"/>
        <v/>
      </c>
      <c r="U234" s="10"/>
    </row>
    <row r="235" spans="3:21" x14ac:dyDescent="0.25">
      <c r="C235" s="8"/>
      <c r="D235" s="8"/>
      <c r="E235" s="8"/>
      <c r="F235" s="8"/>
      <c r="G235" s="25" t="str">
        <f t="shared" si="52"/>
        <v/>
      </c>
      <c r="H235" s="8"/>
      <c r="I235" s="26" t="str">
        <f t="shared" si="53"/>
        <v/>
      </c>
      <c r="J235" s="8"/>
      <c r="K235" s="26" t="str">
        <f t="shared" si="54"/>
        <v/>
      </c>
      <c r="L235" s="8"/>
      <c r="M235" s="26" t="str">
        <f t="shared" si="55"/>
        <v/>
      </c>
      <c r="N235" s="8"/>
      <c r="O235" s="26" t="str">
        <f t="shared" si="56"/>
        <v/>
      </c>
      <c r="P235" s="23" t="str">
        <f t="shared" si="50"/>
        <v/>
      </c>
      <c r="Q235" s="23" t="str">
        <f t="shared" si="51"/>
        <v/>
      </c>
      <c r="R235" s="23" t="str">
        <f t="shared" si="57"/>
        <v/>
      </c>
      <c r="S235" s="23" t="str">
        <f t="shared" si="58"/>
        <v/>
      </c>
      <c r="T235" s="23" t="str">
        <f t="shared" si="59"/>
        <v/>
      </c>
      <c r="U235" s="10"/>
    </row>
    <row r="236" spans="3:21" x14ac:dyDescent="0.25">
      <c r="C236" s="8"/>
      <c r="D236" s="8"/>
      <c r="E236" s="8"/>
      <c r="F236" s="8"/>
      <c r="G236" s="25" t="str">
        <f t="shared" si="52"/>
        <v/>
      </c>
      <c r="H236" s="8"/>
      <c r="I236" s="26" t="str">
        <f t="shared" si="53"/>
        <v/>
      </c>
      <c r="J236" s="8"/>
      <c r="K236" s="26" t="str">
        <f t="shared" si="54"/>
        <v/>
      </c>
      <c r="L236" s="8"/>
      <c r="M236" s="26" t="str">
        <f t="shared" si="55"/>
        <v/>
      </c>
      <c r="N236" s="8"/>
      <c r="O236" s="26" t="str">
        <f t="shared" si="56"/>
        <v/>
      </c>
      <c r="P236" s="23" t="str">
        <f t="shared" si="50"/>
        <v/>
      </c>
      <c r="Q236" s="23" t="str">
        <f t="shared" si="51"/>
        <v/>
      </c>
      <c r="R236" s="23" t="str">
        <f t="shared" si="57"/>
        <v/>
      </c>
      <c r="S236" s="23" t="str">
        <f t="shared" si="58"/>
        <v/>
      </c>
      <c r="T236" s="23" t="str">
        <f t="shared" si="59"/>
        <v/>
      </c>
      <c r="U236" s="10"/>
    </row>
    <row r="237" spans="3:21" x14ac:dyDescent="0.25">
      <c r="C237" s="8"/>
      <c r="D237" s="8"/>
      <c r="E237" s="8"/>
      <c r="F237" s="8"/>
      <c r="G237" s="25" t="str">
        <f t="shared" si="52"/>
        <v/>
      </c>
      <c r="H237" s="8"/>
      <c r="I237" s="26" t="str">
        <f t="shared" si="53"/>
        <v/>
      </c>
      <c r="J237" s="8"/>
      <c r="K237" s="26" t="str">
        <f t="shared" si="54"/>
        <v/>
      </c>
      <c r="L237" s="8"/>
      <c r="M237" s="26" t="str">
        <f t="shared" si="55"/>
        <v/>
      </c>
      <c r="N237" s="8"/>
      <c r="O237" s="26" t="str">
        <f t="shared" si="56"/>
        <v/>
      </c>
      <c r="P237" s="23" t="str">
        <f t="shared" si="50"/>
        <v/>
      </c>
      <c r="Q237" s="23" t="str">
        <f t="shared" si="51"/>
        <v/>
      </c>
      <c r="R237" s="23" t="str">
        <f t="shared" si="57"/>
        <v/>
      </c>
      <c r="S237" s="23" t="str">
        <f t="shared" si="58"/>
        <v/>
      </c>
      <c r="T237" s="23" t="str">
        <f t="shared" si="59"/>
        <v/>
      </c>
      <c r="U237" s="10"/>
    </row>
    <row r="238" spans="3:21" x14ac:dyDescent="0.25">
      <c r="C238" s="8"/>
      <c r="D238" s="8"/>
      <c r="E238" s="8"/>
      <c r="F238" s="8"/>
      <c r="G238" s="25" t="str">
        <f t="shared" si="52"/>
        <v/>
      </c>
      <c r="H238" s="8"/>
      <c r="I238" s="26" t="str">
        <f t="shared" si="53"/>
        <v/>
      </c>
      <c r="J238" s="8"/>
      <c r="K238" s="26" t="str">
        <f t="shared" si="54"/>
        <v/>
      </c>
      <c r="L238" s="8"/>
      <c r="M238" s="26" t="str">
        <f t="shared" si="55"/>
        <v/>
      </c>
      <c r="N238" s="8"/>
      <c r="O238" s="26" t="str">
        <f t="shared" si="56"/>
        <v/>
      </c>
      <c r="P238" s="23" t="str">
        <f t="shared" si="50"/>
        <v/>
      </c>
      <c r="Q238" s="23" t="str">
        <f t="shared" si="51"/>
        <v/>
      </c>
      <c r="R238" s="23" t="str">
        <f t="shared" si="57"/>
        <v/>
      </c>
      <c r="S238" s="23" t="str">
        <f t="shared" si="58"/>
        <v/>
      </c>
      <c r="T238" s="23" t="str">
        <f t="shared" si="59"/>
        <v/>
      </c>
      <c r="U238" s="10"/>
    </row>
    <row r="239" spans="3:21" x14ac:dyDescent="0.25">
      <c r="C239" s="8"/>
      <c r="D239" s="8"/>
      <c r="E239" s="8"/>
      <c r="F239" s="8"/>
      <c r="G239" s="25" t="str">
        <f t="shared" si="52"/>
        <v/>
      </c>
      <c r="H239" s="8"/>
      <c r="I239" s="26" t="str">
        <f t="shared" si="53"/>
        <v/>
      </c>
      <c r="J239" s="8"/>
      <c r="K239" s="26" t="str">
        <f t="shared" si="54"/>
        <v/>
      </c>
      <c r="L239" s="8"/>
      <c r="M239" s="26" t="str">
        <f t="shared" si="55"/>
        <v/>
      </c>
      <c r="N239" s="8"/>
      <c r="O239" s="26" t="str">
        <f t="shared" si="56"/>
        <v/>
      </c>
      <c r="P239" s="23" t="str">
        <f t="shared" si="50"/>
        <v/>
      </c>
      <c r="Q239" s="23" t="str">
        <f t="shared" si="51"/>
        <v/>
      </c>
      <c r="R239" s="23" t="str">
        <f t="shared" si="57"/>
        <v/>
      </c>
      <c r="S239" s="23" t="str">
        <f t="shared" si="58"/>
        <v/>
      </c>
      <c r="T239" s="23" t="str">
        <f t="shared" si="59"/>
        <v/>
      </c>
      <c r="U239" s="10"/>
    </row>
    <row r="240" spans="3:21" x14ac:dyDescent="0.25">
      <c r="C240" s="8"/>
      <c r="D240" s="8"/>
      <c r="E240" s="8"/>
      <c r="F240" s="8"/>
      <c r="G240" s="25" t="str">
        <f t="shared" si="52"/>
        <v/>
      </c>
      <c r="H240" s="8"/>
      <c r="I240" s="26" t="str">
        <f t="shared" si="53"/>
        <v/>
      </c>
      <c r="J240" s="8"/>
      <c r="K240" s="26" t="str">
        <f t="shared" si="54"/>
        <v/>
      </c>
      <c r="L240" s="8"/>
      <c r="M240" s="26" t="str">
        <f t="shared" si="55"/>
        <v/>
      </c>
      <c r="N240" s="8"/>
      <c r="O240" s="26" t="str">
        <f t="shared" si="56"/>
        <v/>
      </c>
      <c r="P240" s="23" t="str">
        <f t="shared" si="50"/>
        <v/>
      </c>
      <c r="Q240" s="23" t="str">
        <f t="shared" si="51"/>
        <v/>
      </c>
      <c r="R240" s="23" t="str">
        <f t="shared" si="57"/>
        <v/>
      </c>
      <c r="S240" s="23" t="str">
        <f t="shared" si="58"/>
        <v/>
      </c>
      <c r="T240" s="23" t="str">
        <f t="shared" si="59"/>
        <v/>
      </c>
      <c r="U240" s="10"/>
    </row>
    <row r="241" spans="3:21" x14ac:dyDescent="0.25">
      <c r="C241" s="8"/>
      <c r="D241" s="8"/>
      <c r="E241" s="8"/>
      <c r="F241" s="8"/>
      <c r="G241" s="25" t="str">
        <f t="shared" si="52"/>
        <v/>
      </c>
      <c r="H241" s="8"/>
      <c r="I241" s="26" t="str">
        <f t="shared" si="53"/>
        <v/>
      </c>
      <c r="J241" s="8"/>
      <c r="K241" s="26" t="str">
        <f t="shared" si="54"/>
        <v/>
      </c>
      <c r="L241" s="8"/>
      <c r="M241" s="26" t="str">
        <f t="shared" si="55"/>
        <v/>
      </c>
      <c r="N241" s="8"/>
      <c r="O241" s="26" t="str">
        <f t="shared" si="56"/>
        <v/>
      </c>
      <c r="P241" s="23" t="str">
        <f t="shared" si="50"/>
        <v/>
      </c>
      <c r="Q241" s="23" t="str">
        <f t="shared" si="51"/>
        <v/>
      </c>
      <c r="R241" s="23" t="str">
        <f t="shared" si="57"/>
        <v/>
      </c>
      <c r="S241" s="23" t="str">
        <f t="shared" si="58"/>
        <v/>
      </c>
      <c r="T241" s="23" t="str">
        <f t="shared" si="59"/>
        <v/>
      </c>
      <c r="U241" s="10"/>
    </row>
    <row r="242" spans="3:21" x14ac:dyDescent="0.25">
      <c r="C242" s="8"/>
      <c r="D242" s="8"/>
      <c r="E242" s="8"/>
      <c r="F242" s="8"/>
      <c r="G242" s="25" t="str">
        <f t="shared" si="52"/>
        <v/>
      </c>
      <c r="H242" s="8"/>
      <c r="I242" s="26" t="str">
        <f t="shared" si="53"/>
        <v/>
      </c>
      <c r="J242" s="8"/>
      <c r="K242" s="26" t="str">
        <f t="shared" si="54"/>
        <v/>
      </c>
      <c r="L242" s="8"/>
      <c r="M242" s="26" t="str">
        <f t="shared" si="55"/>
        <v/>
      </c>
      <c r="N242" s="8"/>
      <c r="O242" s="26" t="str">
        <f t="shared" si="56"/>
        <v/>
      </c>
      <c r="P242" s="23" t="str">
        <f t="shared" si="50"/>
        <v/>
      </c>
      <c r="Q242" s="23" t="str">
        <f t="shared" si="51"/>
        <v/>
      </c>
      <c r="R242" s="23" t="str">
        <f t="shared" si="57"/>
        <v/>
      </c>
      <c r="S242" s="23" t="str">
        <f t="shared" si="58"/>
        <v/>
      </c>
      <c r="T242" s="23" t="str">
        <f t="shared" si="59"/>
        <v/>
      </c>
      <c r="U242" s="10"/>
    </row>
    <row r="243" spans="3:21" x14ac:dyDescent="0.25">
      <c r="C243" s="8"/>
      <c r="D243" s="8"/>
      <c r="E243" s="8"/>
      <c r="F243" s="8"/>
      <c r="G243" s="25" t="str">
        <f t="shared" si="52"/>
        <v/>
      </c>
      <c r="H243" s="8"/>
      <c r="I243" s="26" t="str">
        <f t="shared" si="53"/>
        <v/>
      </c>
      <c r="J243" s="8"/>
      <c r="K243" s="26" t="str">
        <f t="shared" si="54"/>
        <v/>
      </c>
      <c r="L243" s="8"/>
      <c r="M243" s="26" t="str">
        <f t="shared" si="55"/>
        <v/>
      </c>
      <c r="N243" s="8"/>
      <c r="O243" s="26" t="str">
        <f t="shared" si="56"/>
        <v/>
      </c>
      <c r="P243" s="23" t="str">
        <f t="shared" si="50"/>
        <v/>
      </c>
      <c r="Q243" s="23" t="str">
        <f t="shared" si="51"/>
        <v/>
      </c>
      <c r="R243" s="23" t="str">
        <f t="shared" si="57"/>
        <v/>
      </c>
      <c r="S243" s="23" t="str">
        <f t="shared" si="58"/>
        <v/>
      </c>
      <c r="T243" s="23" t="str">
        <f t="shared" si="59"/>
        <v/>
      </c>
      <c r="U243" s="10"/>
    </row>
    <row r="244" spans="3:21" x14ac:dyDescent="0.25">
      <c r="C244" s="8"/>
      <c r="D244" s="8"/>
      <c r="E244" s="8"/>
      <c r="F244" s="8"/>
      <c r="G244" s="25" t="str">
        <f t="shared" si="52"/>
        <v/>
      </c>
      <c r="H244" s="8"/>
      <c r="I244" s="26" t="str">
        <f t="shared" si="53"/>
        <v/>
      </c>
      <c r="J244" s="8"/>
      <c r="K244" s="26" t="str">
        <f t="shared" si="54"/>
        <v/>
      </c>
      <c r="L244" s="8"/>
      <c r="M244" s="26" t="str">
        <f t="shared" si="55"/>
        <v/>
      </c>
      <c r="N244" s="8"/>
      <c r="O244" s="26" t="str">
        <f t="shared" si="56"/>
        <v/>
      </c>
      <c r="P244" s="23" t="str">
        <f t="shared" si="50"/>
        <v/>
      </c>
      <c r="Q244" s="23" t="str">
        <f t="shared" si="51"/>
        <v/>
      </c>
      <c r="R244" s="23" t="str">
        <f t="shared" si="57"/>
        <v/>
      </c>
      <c r="S244" s="23" t="str">
        <f t="shared" si="58"/>
        <v/>
      </c>
      <c r="T244" s="23" t="str">
        <f t="shared" si="59"/>
        <v/>
      </c>
      <c r="U244" s="10"/>
    </row>
    <row r="245" spans="3:21" x14ac:dyDescent="0.25">
      <c r="C245" s="8"/>
      <c r="D245" s="8"/>
      <c r="E245" s="8"/>
      <c r="F245" s="8"/>
      <c r="G245" s="25" t="str">
        <f t="shared" si="52"/>
        <v/>
      </c>
      <c r="H245" s="8"/>
      <c r="I245" s="26" t="str">
        <f t="shared" si="53"/>
        <v/>
      </c>
      <c r="J245" s="8"/>
      <c r="K245" s="26" t="str">
        <f t="shared" si="54"/>
        <v/>
      </c>
      <c r="L245" s="8"/>
      <c r="M245" s="26" t="str">
        <f t="shared" si="55"/>
        <v/>
      </c>
      <c r="N245" s="8"/>
      <c r="O245" s="26" t="str">
        <f t="shared" si="56"/>
        <v/>
      </c>
      <c r="P245" s="23" t="str">
        <f t="shared" si="50"/>
        <v/>
      </c>
      <c r="Q245" s="23" t="str">
        <f t="shared" si="51"/>
        <v/>
      </c>
      <c r="R245" s="23" t="str">
        <f t="shared" si="57"/>
        <v/>
      </c>
      <c r="S245" s="23" t="str">
        <f t="shared" si="58"/>
        <v/>
      </c>
      <c r="T245" s="23" t="str">
        <f t="shared" si="59"/>
        <v/>
      </c>
      <c r="U245" s="10"/>
    </row>
    <row r="246" spans="3:21" x14ac:dyDescent="0.25">
      <c r="C246" s="8"/>
      <c r="D246" s="8"/>
      <c r="E246" s="8"/>
      <c r="F246" s="8"/>
      <c r="G246" s="25" t="str">
        <f t="shared" si="52"/>
        <v/>
      </c>
      <c r="H246" s="8"/>
      <c r="I246" s="26" t="str">
        <f t="shared" si="53"/>
        <v/>
      </c>
      <c r="J246" s="8"/>
      <c r="K246" s="26" t="str">
        <f t="shared" si="54"/>
        <v/>
      </c>
      <c r="L246" s="8"/>
      <c r="M246" s="26" t="str">
        <f t="shared" si="55"/>
        <v/>
      </c>
      <c r="N246" s="8"/>
      <c r="O246" s="26" t="str">
        <f t="shared" si="56"/>
        <v/>
      </c>
      <c r="P246" s="23" t="str">
        <f t="shared" si="50"/>
        <v/>
      </c>
      <c r="Q246" s="23" t="str">
        <f t="shared" si="51"/>
        <v/>
      </c>
      <c r="R246" s="23" t="str">
        <f t="shared" si="57"/>
        <v/>
      </c>
      <c r="S246" s="23" t="str">
        <f t="shared" si="58"/>
        <v/>
      </c>
      <c r="T246" s="23" t="str">
        <f t="shared" si="59"/>
        <v/>
      </c>
      <c r="U246" s="10"/>
    </row>
    <row r="247" spans="3:21" x14ac:dyDescent="0.25">
      <c r="C247" s="8"/>
      <c r="D247" s="8"/>
      <c r="E247" s="8"/>
      <c r="F247" s="8"/>
      <c r="G247" s="25" t="str">
        <f t="shared" si="52"/>
        <v/>
      </c>
      <c r="H247" s="8"/>
      <c r="I247" s="26" t="str">
        <f t="shared" si="53"/>
        <v/>
      </c>
      <c r="J247" s="8"/>
      <c r="K247" s="26" t="str">
        <f t="shared" si="54"/>
        <v/>
      </c>
      <c r="L247" s="8"/>
      <c r="M247" s="26" t="str">
        <f t="shared" si="55"/>
        <v/>
      </c>
      <c r="N247" s="8"/>
      <c r="O247" s="26" t="str">
        <f t="shared" si="56"/>
        <v/>
      </c>
      <c r="P247" s="23" t="str">
        <f t="shared" si="50"/>
        <v/>
      </c>
      <c r="Q247" s="23" t="str">
        <f t="shared" si="51"/>
        <v/>
      </c>
      <c r="R247" s="23" t="str">
        <f t="shared" si="57"/>
        <v/>
      </c>
      <c r="S247" s="23" t="str">
        <f t="shared" si="58"/>
        <v/>
      </c>
      <c r="T247" s="23" t="str">
        <f t="shared" si="59"/>
        <v/>
      </c>
      <c r="U247" s="10"/>
    </row>
    <row r="248" spans="3:21" x14ac:dyDescent="0.25">
      <c r="C248" s="8"/>
      <c r="D248" s="8"/>
      <c r="E248" s="8"/>
      <c r="F248" s="8"/>
      <c r="G248" s="25" t="str">
        <f t="shared" si="52"/>
        <v/>
      </c>
      <c r="H248" s="8"/>
      <c r="I248" s="26" t="str">
        <f t="shared" si="53"/>
        <v/>
      </c>
      <c r="J248" s="8"/>
      <c r="K248" s="26" t="str">
        <f t="shared" si="54"/>
        <v/>
      </c>
      <c r="L248" s="8"/>
      <c r="M248" s="26" t="str">
        <f t="shared" si="55"/>
        <v/>
      </c>
      <c r="N248" s="8"/>
      <c r="O248" s="26" t="str">
        <f t="shared" si="56"/>
        <v/>
      </c>
      <c r="P248" s="23" t="str">
        <f t="shared" si="50"/>
        <v/>
      </c>
      <c r="Q248" s="23" t="str">
        <f t="shared" si="51"/>
        <v/>
      </c>
      <c r="R248" s="23" t="str">
        <f t="shared" si="57"/>
        <v/>
      </c>
      <c r="S248" s="23" t="str">
        <f t="shared" si="58"/>
        <v/>
      </c>
      <c r="T248" s="23" t="str">
        <f t="shared" si="59"/>
        <v/>
      </c>
      <c r="U248" s="10"/>
    </row>
    <row r="249" spans="3:21" x14ac:dyDescent="0.25">
      <c r="C249" s="8"/>
      <c r="D249" s="8"/>
      <c r="E249" s="8"/>
      <c r="F249" s="8"/>
      <c r="G249" s="25" t="str">
        <f t="shared" si="52"/>
        <v/>
      </c>
      <c r="H249" s="8"/>
      <c r="I249" s="26" t="str">
        <f t="shared" si="53"/>
        <v/>
      </c>
      <c r="J249" s="8"/>
      <c r="K249" s="26" t="str">
        <f t="shared" si="54"/>
        <v/>
      </c>
      <c r="L249" s="8"/>
      <c r="M249" s="26" t="str">
        <f t="shared" si="55"/>
        <v/>
      </c>
      <c r="N249" s="8"/>
      <c r="O249" s="26" t="str">
        <f t="shared" si="56"/>
        <v/>
      </c>
      <c r="P249" s="23" t="str">
        <f t="shared" si="50"/>
        <v/>
      </c>
      <c r="Q249" s="23" t="str">
        <f t="shared" si="51"/>
        <v/>
      </c>
      <c r="R249" s="23" t="str">
        <f t="shared" si="57"/>
        <v/>
      </c>
      <c r="S249" s="23" t="str">
        <f t="shared" si="58"/>
        <v/>
      </c>
      <c r="T249" s="23" t="str">
        <f t="shared" si="59"/>
        <v/>
      </c>
      <c r="U249" s="10"/>
    </row>
    <row r="250" spans="3:21" x14ac:dyDescent="0.25">
      <c r="C250" s="8"/>
      <c r="D250" s="8"/>
      <c r="E250" s="8"/>
      <c r="F250" s="8"/>
      <c r="G250" s="25" t="str">
        <f t="shared" si="52"/>
        <v/>
      </c>
      <c r="H250" s="8"/>
      <c r="I250" s="26" t="str">
        <f t="shared" si="53"/>
        <v/>
      </c>
      <c r="J250" s="8"/>
      <c r="K250" s="26" t="str">
        <f t="shared" si="54"/>
        <v/>
      </c>
      <c r="L250" s="8"/>
      <c r="M250" s="26" t="str">
        <f t="shared" si="55"/>
        <v/>
      </c>
      <c r="N250" s="8"/>
      <c r="O250" s="26" t="str">
        <f t="shared" si="56"/>
        <v/>
      </c>
      <c r="P250" s="23" t="str">
        <f t="shared" si="50"/>
        <v/>
      </c>
      <c r="Q250" s="23" t="str">
        <f t="shared" si="51"/>
        <v/>
      </c>
      <c r="R250" s="23" t="str">
        <f t="shared" si="57"/>
        <v/>
      </c>
      <c r="S250" s="23" t="str">
        <f t="shared" si="58"/>
        <v/>
      </c>
      <c r="T250" s="23" t="str">
        <f t="shared" si="59"/>
        <v/>
      </c>
      <c r="U250" s="10"/>
    </row>
    <row r="251" spans="3:21" x14ac:dyDescent="0.25">
      <c r="C251" s="8"/>
      <c r="D251" s="8"/>
      <c r="E251" s="8"/>
      <c r="F251" s="8"/>
      <c r="G251" s="25" t="str">
        <f t="shared" si="52"/>
        <v/>
      </c>
      <c r="H251" s="8"/>
      <c r="I251" s="26" t="str">
        <f t="shared" si="53"/>
        <v/>
      </c>
      <c r="J251" s="8"/>
      <c r="K251" s="26" t="str">
        <f t="shared" si="54"/>
        <v/>
      </c>
      <c r="L251" s="8"/>
      <c r="M251" s="26" t="str">
        <f t="shared" si="55"/>
        <v/>
      </c>
      <c r="N251" s="8"/>
      <c r="O251" s="26" t="str">
        <f t="shared" si="56"/>
        <v/>
      </c>
      <c r="P251" s="23" t="str">
        <f t="shared" si="50"/>
        <v/>
      </c>
      <c r="Q251" s="23" t="str">
        <f t="shared" si="51"/>
        <v/>
      </c>
      <c r="R251" s="23" t="str">
        <f t="shared" si="57"/>
        <v/>
      </c>
      <c r="S251" s="23" t="str">
        <f t="shared" si="58"/>
        <v/>
      </c>
      <c r="T251" s="23" t="str">
        <f t="shared" si="59"/>
        <v/>
      </c>
      <c r="U251" s="10"/>
    </row>
    <row r="252" spans="3:21" x14ac:dyDescent="0.25">
      <c r="C252" s="8"/>
      <c r="D252" s="8"/>
      <c r="E252" s="8"/>
      <c r="F252" s="8"/>
      <c r="G252" s="25" t="str">
        <f t="shared" si="52"/>
        <v/>
      </c>
      <c r="H252" s="8"/>
      <c r="I252" s="26" t="str">
        <f t="shared" si="53"/>
        <v/>
      </c>
      <c r="J252" s="8"/>
      <c r="K252" s="26" t="str">
        <f t="shared" si="54"/>
        <v/>
      </c>
      <c r="L252" s="8"/>
      <c r="M252" s="26" t="str">
        <f t="shared" si="55"/>
        <v/>
      </c>
      <c r="N252" s="8"/>
      <c r="O252" s="26" t="str">
        <f t="shared" si="56"/>
        <v/>
      </c>
      <c r="P252" s="23" t="str">
        <f t="shared" si="50"/>
        <v/>
      </c>
      <c r="Q252" s="23" t="str">
        <f t="shared" si="51"/>
        <v/>
      </c>
      <c r="R252" s="23" t="str">
        <f t="shared" si="57"/>
        <v/>
      </c>
      <c r="S252" s="23" t="str">
        <f t="shared" si="58"/>
        <v/>
      </c>
      <c r="T252" s="23" t="str">
        <f t="shared" si="59"/>
        <v/>
      </c>
      <c r="U252" s="10"/>
    </row>
    <row r="253" spans="3:21" x14ac:dyDescent="0.25">
      <c r="C253" s="8"/>
      <c r="D253" s="8"/>
      <c r="E253" s="8"/>
      <c r="F253" s="8"/>
      <c r="G253" s="25" t="str">
        <f t="shared" si="52"/>
        <v/>
      </c>
      <c r="H253" s="8"/>
      <c r="I253" s="26" t="str">
        <f t="shared" si="53"/>
        <v/>
      </c>
      <c r="J253" s="8"/>
      <c r="K253" s="26" t="str">
        <f t="shared" si="54"/>
        <v/>
      </c>
      <c r="L253" s="8"/>
      <c r="M253" s="26" t="str">
        <f t="shared" si="55"/>
        <v/>
      </c>
      <c r="N253" s="8"/>
      <c r="O253" s="26" t="str">
        <f t="shared" si="56"/>
        <v/>
      </c>
      <c r="P253" s="23" t="str">
        <f t="shared" si="50"/>
        <v/>
      </c>
      <c r="Q253" s="23" t="str">
        <f t="shared" si="51"/>
        <v/>
      </c>
      <c r="R253" s="23" t="str">
        <f t="shared" si="57"/>
        <v/>
      </c>
      <c r="S253" s="23" t="str">
        <f t="shared" si="58"/>
        <v/>
      </c>
      <c r="T253" s="23" t="str">
        <f t="shared" si="59"/>
        <v/>
      </c>
      <c r="U253" s="10"/>
    </row>
    <row r="254" spans="3:21" x14ac:dyDescent="0.25">
      <c r="C254" s="8"/>
      <c r="D254" s="8"/>
      <c r="E254" s="8"/>
      <c r="F254" s="8"/>
      <c r="G254" s="25" t="str">
        <f t="shared" si="52"/>
        <v/>
      </c>
      <c r="H254" s="8"/>
      <c r="I254" s="26" t="str">
        <f t="shared" si="53"/>
        <v/>
      </c>
      <c r="J254" s="8"/>
      <c r="K254" s="26" t="str">
        <f t="shared" si="54"/>
        <v/>
      </c>
      <c r="L254" s="8"/>
      <c r="M254" s="26" t="str">
        <f t="shared" si="55"/>
        <v/>
      </c>
      <c r="N254" s="8"/>
      <c r="O254" s="26" t="str">
        <f t="shared" si="56"/>
        <v/>
      </c>
      <c r="P254" s="23" t="str">
        <f t="shared" si="50"/>
        <v/>
      </c>
      <c r="Q254" s="23" t="str">
        <f t="shared" si="51"/>
        <v/>
      </c>
      <c r="R254" s="23" t="str">
        <f t="shared" si="57"/>
        <v/>
      </c>
      <c r="S254" s="23" t="str">
        <f t="shared" si="58"/>
        <v/>
      </c>
      <c r="T254" s="23" t="str">
        <f t="shared" si="59"/>
        <v/>
      </c>
      <c r="U254" s="10"/>
    </row>
    <row r="255" spans="3:21" x14ac:dyDescent="0.25">
      <c r="C255" s="8"/>
      <c r="D255" s="8"/>
      <c r="E255" s="8"/>
      <c r="F255" s="8"/>
      <c r="G255" s="25" t="str">
        <f t="shared" si="52"/>
        <v/>
      </c>
      <c r="H255" s="8"/>
      <c r="I255" s="26" t="str">
        <f t="shared" si="53"/>
        <v/>
      </c>
      <c r="J255" s="8"/>
      <c r="K255" s="26" t="str">
        <f t="shared" si="54"/>
        <v/>
      </c>
      <c r="L255" s="8"/>
      <c r="M255" s="26" t="str">
        <f t="shared" si="55"/>
        <v/>
      </c>
      <c r="N255" s="8"/>
      <c r="O255" s="26" t="str">
        <f t="shared" si="56"/>
        <v/>
      </c>
      <c r="P255" s="23" t="str">
        <f t="shared" si="50"/>
        <v/>
      </c>
      <c r="Q255" s="23" t="str">
        <f t="shared" si="51"/>
        <v/>
      </c>
      <c r="R255" s="23" t="str">
        <f t="shared" si="57"/>
        <v/>
      </c>
      <c r="S255" s="23" t="str">
        <f t="shared" si="58"/>
        <v/>
      </c>
      <c r="T255" s="23" t="str">
        <f t="shared" si="59"/>
        <v/>
      </c>
      <c r="U255" s="10"/>
    </row>
    <row r="256" spans="3:21" x14ac:dyDescent="0.25">
      <c r="C256" s="8"/>
      <c r="D256" s="8"/>
      <c r="E256" s="8"/>
      <c r="F256" s="8"/>
      <c r="G256" s="25" t="str">
        <f t="shared" si="52"/>
        <v/>
      </c>
      <c r="H256" s="8"/>
      <c r="I256" s="26" t="str">
        <f t="shared" si="53"/>
        <v/>
      </c>
      <c r="J256" s="8"/>
      <c r="K256" s="26" t="str">
        <f t="shared" si="54"/>
        <v/>
      </c>
      <c r="L256" s="8"/>
      <c r="M256" s="26" t="str">
        <f t="shared" si="55"/>
        <v/>
      </c>
      <c r="N256" s="8"/>
      <c r="O256" s="26" t="str">
        <f t="shared" si="56"/>
        <v/>
      </c>
      <c r="P256" s="23" t="str">
        <f t="shared" si="50"/>
        <v/>
      </c>
      <c r="Q256" s="23" t="str">
        <f t="shared" si="51"/>
        <v/>
      </c>
      <c r="R256" s="23" t="str">
        <f t="shared" si="57"/>
        <v/>
      </c>
      <c r="S256" s="23" t="str">
        <f t="shared" si="58"/>
        <v/>
      </c>
      <c r="T256" s="23" t="str">
        <f t="shared" si="59"/>
        <v/>
      </c>
      <c r="U256" s="10"/>
    </row>
    <row r="257" spans="3:21" x14ac:dyDescent="0.25">
      <c r="C257" s="8"/>
      <c r="D257" s="8"/>
      <c r="E257" s="8"/>
      <c r="F257" s="8"/>
      <c r="G257" s="25" t="str">
        <f t="shared" si="52"/>
        <v/>
      </c>
      <c r="H257" s="8"/>
      <c r="I257" s="26" t="str">
        <f t="shared" si="53"/>
        <v/>
      </c>
      <c r="J257" s="8"/>
      <c r="K257" s="26" t="str">
        <f t="shared" si="54"/>
        <v/>
      </c>
      <c r="L257" s="8"/>
      <c r="M257" s="26" t="str">
        <f t="shared" si="55"/>
        <v/>
      </c>
      <c r="N257" s="8"/>
      <c r="O257" s="26" t="str">
        <f t="shared" si="56"/>
        <v/>
      </c>
      <c r="P257" s="23" t="str">
        <f t="shared" si="50"/>
        <v/>
      </c>
      <c r="Q257" s="23" t="str">
        <f t="shared" si="51"/>
        <v/>
      </c>
      <c r="R257" s="23" t="str">
        <f t="shared" si="57"/>
        <v/>
      </c>
      <c r="S257" s="23" t="str">
        <f t="shared" si="58"/>
        <v/>
      </c>
      <c r="T257" s="23" t="str">
        <f t="shared" si="59"/>
        <v/>
      </c>
      <c r="U257" s="10"/>
    </row>
    <row r="258" spans="3:21" x14ac:dyDescent="0.25">
      <c r="C258" s="8"/>
      <c r="D258" s="8"/>
      <c r="E258" s="8"/>
      <c r="F258" s="8"/>
      <c r="G258" s="25" t="str">
        <f t="shared" si="52"/>
        <v/>
      </c>
      <c r="H258" s="8"/>
      <c r="I258" s="26" t="str">
        <f t="shared" si="53"/>
        <v/>
      </c>
      <c r="J258" s="8"/>
      <c r="K258" s="26" t="str">
        <f t="shared" si="54"/>
        <v/>
      </c>
      <c r="L258" s="8"/>
      <c r="M258" s="26" t="str">
        <f t="shared" si="55"/>
        <v/>
      </c>
      <c r="N258" s="8"/>
      <c r="O258" s="26" t="str">
        <f t="shared" si="56"/>
        <v/>
      </c>
      <c r="P258" s="23" t="str">
        <f t="shared" si="50"/>
        <v/>
      </c>
      <c r="Q258" s="23" t="str">
        <f t="shared" si="51"/>
        <v/>
      </c>
      <c r="R258" s="23" t="str">
        <f t="shared" si="57"/>
        <v/>
      </c>
      <c r="S258" s="23" t="str">
        <f t="shared" si="58"/>
        <v/>
      </c>
      <c r="T258" s="23" t="str">
        <f t="shared" si="59"/>
        <v/>
      </c>
      <c r="U258" s="10"/>
    </row>
    <row r="259" spans="3:21" x14ac:dyDescent="0.25">
      <c r="C259" s="8"/>
      <c r="D259" s="8"/>
      <c r="E259" s="8"/>
      <c r="F259" s="8"/>
      <c r="G259" s="25" t="str">
        <f t="shared" si="52"/>
        <v/>
      </c>
      <c r="H259" s="8"/>
      <c r="I259" s="26" t="str">
        <f t="shared" si="53"/>
        <v/>
      </c>
      <c r="J259" s="8"/>
      <c r="K259" s="26" t="str">
        <f t="shared" si="54"/>
        <v/>
      </c>
      <c r="L259" s="8"/>
      <c r="M259" s="26" t="str">
        <f t="shared" si="55"/>
        <v/>
      </c>
      <c r="N259" s="8"/>
      <c r="O259" s="26" t="str">
        <f t="shared" si="56"/>
        <v/>
      </c>
      <c r="P259" s="23" t="str">
        <f t="shared" si="50"/>
        <v/>
      </c>
      <c r="Q259" s="23" t="str">
        <f t="shared" si="51"/>
        <v/>
      </c>
      <c r="R259" s="23" t="str">
        <f t="shared" si="57"/>
        <v/>
      </c>
      <c r="S259" s="23" t="str">
        <f t="shared" si="58"/>
        <v/>
      </c>
      <c r="T259" s="23" t="str">
        <f t="shared" si="59"/>
        <v/>
      </c>
      <c r="U259" s="10"/>
    </row>
    <row r="260" spans="3:21" x14ac:dyDescent="0.25">
      <c r="C260" s="8"/>
      <c r="D260" s="8"/>
      <c r="E260" s="8"/>
      <c r="F260" s="8"/>
      <c r="G260" s="25" t="str">
        <f t="shared" si="52"/>
        <v/>
      </c>
      <c r="H260" s="8"/>
      <c r="I260" s="26" t="str">
        <f t="shared" si="53"/>
        <v/>
      </c>
      <c r="J260" s="8"/>
      <c r="K260" s="26" t="str">
        <f t="shared" si="54"/>
        <v/>
      </c>
      <c r="L260" s="8"/>
      <c r="M260" s="26" t="str">
        <f t="shared" si="55"/>
        <v/>
      </c>
      <c r="N260" s="8"/>
      <c r="O260" s="26" t="str">
        <f t="shared" si="56"/>
        <v/>
      </c>
      <c r="P260" s="23" t="str">
        <f t="shared" ref="P260:P323" si="60">IF(COUNT(F260:O260)=0,"",SUM(F260:O260))</f>
        <v/>
      </c>
      <c r="Q260" s="23" t="str">
        <f t="shared" ref="Q260:Q323" si="61">IF(P260="","",P260/500*12)</f>
        <v/>
      </c>
      <c r="R260" s="23" t="str">
        <f t="shared" si="57"/>
        <v/>
      </c>
      <c r="S260" s="23" t="str">
        <f t="shared" si="58"/>
        <v/>
      </c>
      <c r="T260" s="23" t="str">
        <f t="shared" si="59"/>
        <v/>
      </c>
      <c r="U260" s="10"/>
    </row>
    <row r="261" spans="3:21" x14ac:dyDescent="0.25">
      <c r="C261" s="8"/>
      <c r="D261" s="8"/>
      <c r="E261" s="8"/>
      <c r="F261" s="8"/>
      <c r="G261" s="25" t="str">
        <f t="shared" si="52"/>
        <v/>
      </c>
      <c r="H261" s="8"/>
      <c r="I261" s="26" t="str">
        <f t="shared" si="53"/>
        <v/>
      </c>
      <c r="J261" s="8"/>
      <c r="K261" s="26" t="str">
        <f t="shared" si="54"/>
        <v/>
      </c>
      <c r="L261" s="8"/>
      <c r="M261" s="26" t="str">
        <f t="shared" si="55"/>
        <v/>
      </c>
      <c r="N261" s="8"/>
      <c r="O261" s="26" t="str">
        <f t="shared" si="56"/>
        <v/>
      </c>
      <c r="P261" s="23" t="str">
        <f t="shared" si="60"/>
        <v/>
      </c>
      <c r="Q261" s="23" t="str">
        <f t="shared" si="61"/>
        <v/>
      </c>
      <c r="R261" s="23" t="str">
        <f t="shared" si="57"/>
        <v/>
      </c>
      <c r="S261" s="23" t="str">
        <f t="shared" si="58"/>
        <v/>
      </c>
      <c r="T261" s="23" t="str">
        <f t="shared" si="59"/>
        <v/>
      </c>
      <c r="U261" s="10"/>
    </row>
    <row r="262" spans="3:21" x14ac:dyDescent="0.25">
      <c r="C262" s="8"/>
      <c r="D262" s="8"/>
      <c r="E262" s="8"/>
      <c r="F262" s="8"/>
      <c r="G262" s="25" t="str">
        <f t="shared" si="52"/>
        <v/>
      </c>
      <c r="H262" s="8"/>
      <c r="I262" s="26" t="str">
        <f t="shared" si="53"/>
        <v/>
      </c>
      <c r="J262" s="8"/>
      <c r="K262" s="26" t="str">
        <f t="shared" si="54"/>
        <v/>
      </c>
      <c r="L262" s="8"/>
      <c r="M262" s="26" t="str">
        <f t="shared" si="55"/>
        <v/>
      </c>
      <c r="N262" s="8"/>
      <c r="O262" s="26" t="str">
        <f t="shared" si="56"/>
        <v/>
      </c>
      <c r="P262" s="23" t="str">
        <f t="shared" si="60"/>
        <v/>
      </c>
      <c r="Q262" s="23" t="str">
        <f t="shared" si="61"/>
        <v/>
      </c>
      <c r="R262" s="23" t="str">
        <f t="shared" si="57"/>
        <v/>
      </c>
      <c r="S262" s="23" t="str">
        <f t="shared" si="58"/>
        <v/>
      </c>
      <c r="T262" s="23" t="str">
        <f t="shared" si="59"/>
        <v/>
      </c>
      <c r="U262" s="10"/>
    </row>
    <row r="263" spans="3:21" x14ac:dyDescent="0.25">
      <c r="C263" s="8"/>
      <c r="D263" s="8"/>
      <c r="E263" s="8"/>
      <c r="F263" s="8"/>
      <c r="G263" s="25" t="str">
        <f t="shared" si="52"/>
        <v/>
      </c>
      <c r="H263" s="8"/>
      <c r="I263" s="26" t="str">
        <f t="shared" si="53"/>
        <v/>
      </c>
      <c r="J263" s="8"/>
      <c r="K263" s="26" t="str">
        <f t="shared" si="54"/>
        <v/>
      </c>
      <c r="L263" s="8"/>
      <c r="M263" s="26" t="str">
        <f t="shared" si="55"/>
        <v/>
      </c>
      <c r="N263" s="8"/>
      <c r="O263" s="26" t="str">
        <f t="shared" si="56"/>
        <v/>
      </c>
      <c r="P263" s="23" t="str">
        <f t="shared" si="60"/>
        <v/>
      </c>
      <c r="Q263" s="23" t="str">
        <f t="shared" si="61"/>
        <v/>
      </c>
      <c r="R263" s="23" t="str">
        <f t="shared" si="57"/>
        <v/>
      </c>
      <c r="S263" s="23" t="str">
        <f t="shared" si="58"/>
        <v/>
      </c>
      <c r="T263" s="23" t="str">
        <f t="shared" si="59"/>
        <v/>
      </c>
      <c r="U263" s="10"/>
    </row>
    <row r="264" spans="3:21" x14ac:dyDescent="0.25">
      <c r="C264" s="8"/>
      <c r="D264" s="8"/>
      <c r="E264" s="8"/>
      <c r="F264" s="8"/>
      <c r="G264" s="25" t="str">
        <f t="shared" si="52"/>
        <v/>
      </c>
      <c r="H264" s="8"/>
      <c r="I264" s="26" t="str">
        <f t="shared" si="53"/>
        <v/>
      </c>
      <c r="J264" s="8"/>
      <c r="K264" s="26" t="str">
        <f t="shared" si="54"/>
        <v/>
      </c>
      <c r="L264" s="8"/>
      <c r="M264" s="26" t="str">
        <f t="shared" si="55"/>
        <v/>
      </c>
      <c r="N264" s="8"/>
      <c r="O264" s="26" t="str">
        <f t="shared" si="56"/>
        <v/>
      </c>
      <c r="P264" s="23" t="str">
        <f t="shared" si="60"/>
        <v/>
      </c>
      <c r="Q264" s="23" t="str">
        <f t="shared" si="61"/>
        <v/>
      </c>
      <c r="R264" s="23" t="str">
        <f t="shared" si="57"/>
        <v/>
      </c>
      <c r="S264" s="23" t="str">
        <f t="shared" si="58"/>
        <v/>
      </c>
      <c r="T264" s="23" t="str">
        <f t="shared" si="59"/>
        <v/>
      </c>
      <c r="U264" s="10"/>
    </row>
    <row r="265" spans="3:21" x14ac:dyDescent="0.25">
      <c r="C265" s="8"/>
      <c r="D265" s="8"/>
      <c r="E265" s="8"/>
      <c r="F265" s="8"/>
      <c r="G265" s="25" t="str">
        <f t="shared" si="52"/>
        <v/>
      </c>
      <c r="H265" s="8"/>
      <c r="I265" s="26" t="str">
        <f t="shared" si="53"/>
        <v/>
      </c>
      <c r="J265" s="8"/>
      <c r="K265" s="26" t="str">
        <f t="shared" si="54"/>
        <v/>
      </c>
      <c r="L265" s="8"/>
      <c r="M265" s="26" t="str">
        <f t="shared" si="55"/>
        <v/>
      </c>
      <c r="N265" s="8"/>
      <c r="O265" s="26" t="str">
        <f t="shared" si="56"/>
        <v/>
      </c>
      <c r="P265" s="23" t="str">
        <f t="shared" si="60"/>
        <v/>
      </c>
      <c r="Q265" s="23" t="str">
        <f t="shared" si="61"/>
        <v/>
      </c>
      <c r="R265" s="23" t="str">
        <f t="shared" si="57"/>
        <v/>
      </c>
      <c r="S265" s="23" t="str">
        <f t="shared" si="58"/>
        <v/>
      </c>
      <c r="T265" s="23" t="str">
        <f t="shared" si="59"/>
        <v/>
      </c>
      <c r="U265" s="10"/>
    </row>
    <row r="266" spans="3:21" x14ac:dyDescent="0.25">
      <c r="C266" s="8"/>
      <c r="D266" s="8"/>
      <c r="E266" s="8"/>
      <c r="F266" s="8"/>
      <c r="G266" s="25" t="str">
        <f t="shared" si="52"/>
        <v/>
      </c>
      <c r="H266" s="8"/>
      <c r="I266" s="26" t="str">
        <f t="shared" si="53"/>
        <v/>
      </c>
      <c r="J266" s="8"/>
      <c r="K266" s="26" t="str">
        <f t="shared" si="54"/>
        <v/>
      </c>
      <c r="L266" s="8"/>
      <c r="M266" s="26" t="str">
        <f t="shared" si="55"/>
        <v/>
      </c>
      <c r="N266" s="8"/>
      <c r="O266" s="26" t="str">
        <f t="shared" si="56"/>
        <v/>
      </c>
      <c r="P266" s="23" t="str">
        <f t="shared" si="60"/>
        <v/>
      </c>
      <c r="Q266" s="23" t="str">
        <f t="shared" si="61"/>
        <v/>
      </c>
      <c r="R266" s="23" t="str">
        <f t="shared" si="57"/>
        <v/>
      </c>
      <c r="S266" s="23" t="str">
        <f t="shared" si="58"/>
        <v/>
      </c>
      <c r="T266" s="23" t="str">
        <f t="shared" si="59"/>
        <v/>
      </c>
      <c r="U266" s="10"/>
    </row>
    <row r="267" spans="3:21" x14ac:dyDescent="0.25">
      <c r="C267" s="8"/>
      <c r="D267" s="8"/>
      <c r="E267" s="8"/>
      <c r="F267" s="8"/>
      <c r="G267" s="25" t="str">
        <f t="shared" si="52"/>
        <v/>
      </c>
      <c r="H267" s="8"/>
      <c r="I267" s="26" t="str">
        <f t="shared" si="53"/>
        <v/>
      </c>
      <c r="J267" s="8"/>
      <c r="K267" s="26" t="str">
        <f t="shared" si="54"/>
        <v/>
      </c>
      <c r="L267" s="8"/>
      <c r="M267" s="26" t="str">
        <f t="shared" si="55"/>
        <v/>
      </c>
      <c r="N267" s="8"/>
      <c r="O267" s="26" t="str">
        <f t="shared" si="56"/>
        <v/>
      </c>
      <c r="P267" s="23" t="str">
        <f t="shared" si="60"/>
        <v/>
      </c>
      <c r="Q267" s="23" t="str">
        <f t="shared" si="61"/>
        <v/>
      </c>
      <c r="R267" s="23" t="str">
        <f t="shared" si="57"/>
        <v/>
      </c>
      <c r="S267" s="23" t="str">
        <f t="shared" si="58"/>
        <v/>
      </c>
      <c r="T267" s="23" t="str">
        <f t="shared" si="59"/>
        <v/>
      </c>
      <c r="U267" s="10"/>
    </row>
    <row r="268" spans="3:21" x14ac:dyDescent="0.25">
      <c r="C268" s="8"/>
      <c r="D268" s="8"/>
      <c r="E268" s="8"/>
      <c r="F268" s="8"/>
      <c r="G268" s="25" t="str">
        <f t="shared" si="52"/>
        <v/>
      </c>
      <c r="H268" s="8"/>
      <c r="I268" s="26" t="str">
        <f t="shared" si="53"/>
        <v/>
      </c>
      <c r="J268" s="8"/>
      <c r="K268" s="26" t="str">
        <f t="shared" si="54"/>
        <v/>
      </c>
      <c r="L268" s="8"/>
      <c r="M268" s="26" t="str">
        <f t="shared" si="55"/>
        <v/>
      </c>
      <c r="N268" s="8"/>
      <c r="O268" s="26" t="str">
        <f t="shared" si="56"/>
        <v/>
      </c>
      <c r="P268" s="23" t="str">
        <f t="shared" si="60"/>
        <v/>
      </c>
      <c r="Q268" s="23" t="str">
        <f t="shared" si="61"/>
        <v/>
      </c>
      <c r="R268" s="23" t="str">
        <f t="shared" si="57"/>
        <v/>
      </c>
      <c r="S268" s="23" t="str">
        <f t="shared" si="58"/>
        <v/>
      </c>
      <c r="T268" s="23" t="str">
        <f t="shared" si="59"/>
        <v/>
      </c>
      <c r="U268" s="10"/>
    </row>
    <row r="269" spans="3:21" x14ac:dyDescent="0.25">
      <c r="C269" s="8"/>
      <c r="D269" s="8"/>
      <c r="E269" s="8"/>
      <c r="F269" s="8"/>
      <c r="G269" s="25" t="str">
        <f t="shared" si="52"/>
        <v/>
      </c>
      <c r="H269" s="8"/>
      <c r="I269" s="26" t="str">
        <f t="shared" si="53"/>
        <v/>
      </c>
      <c r="J269" s="8"/>
      <c r="K269" s="26" t="str">
        <f t="shared" si="54"/>
        <v/>
      </c>
      <c r="L269" s="8"/>
      <c r="M269" s="26" t="str">
        <f t="shared" si="55"/>
        <v/>
      </c>
      <c r="N269" s="8"/>
      <c r="O269" s="26" t="str">
        <f t="shared" si="56"/>
        <v/>
      </c>
      <c r="P269" s="23" t="str">
        <f t="shared" si="60"/>
        <v/>
      </c>
      <c r="Q269" s="23" t="str">
        <f t="shared" si="61"/>
        <v/>
      </c>
      <c r="R269" s="23" t="str">
        <f t="shared" si="57"/>
        <v/>
      </c>
      <c r="S269" s="23" t="str">
        <f t="shared" si="58"/>
        <v/>
      </c>
      <c r="T269" s="23" t="str">
        <f t="shared" si="59"/>
        <v/>
      </c>
      <c r="U269" s="10"/>
    </row>
    <row r="270" spans="3:21" x14ac:dyDescent="0.25">
      <c r="C270" s="8"/>
      <c r="D270" s="8"/>
      <c r="E270" s="8"/>
      <c r="F270" s="8"/>
      <c r="G270" s="25" t="str">
        <f t="shared" si="52"/>
        <v/>
      </c>
      <c r="H270" s="8"/>
      <c r="I270" s="26" t="str">
        <f t="shared" si="53"/>
        <v/>
      </c>
      <c r="J270" s="8"/>
      <c r="K270" s="26" t="str">
        <f t="shared" si="54"/>
        <v/>
      </c>
      <c r="L270" s="8"/>
      <c r="M270" s="26" t="str">
        <f t="shared" si="55"/>
        <v/>
      </c>
      <c r="N270" s="8"/>
      <c r="O270" s="26" t="str">
        <f t="shared" si="56"/>
        <v/>
      </c>
      <c r="P270" s="23" t="str">
        <f t="shared" si="60"/>
        <v/>
      </c>
      <c r="Q270" s="23" t="str">
        <f t="shared" si="61"/>
        <v/>
      </c>
      <c r="R270" s="23" t="str">
        <f t="shared" si="57"/>
        <v/>
      </c>
      <c r="S270" s="23" t="str">
        <f t="shared" si="58"/>
        <v/>
      </c>
      <c r="T270" s="23" t="str">
        <f t="shared" si="59"/>
        <v/>
      </c>
      <c r="U270" s="10"/>
    </row>
    <row r="271" spans="3:21" x14ac:dyDescent="0.25">
      <c r="C271" s="8"/>
      <c r="D271" s="8"/>
      <c r="E271" s="8"/>
      <c r="F271" s="8"/>
      <c r="G271" s="25" t="str">
        <f t="shared" si="52"/>
        <v/>
      </c>
      <c r="H271" s="8"/>
      <c r="I271" s="26" t="str">
        <f t="shared" si="53"/>
        <v/>
      </c>
      <c r="J271" s="8"/>
      <c r="K271" s="26" t="str">
        <f t="shared" si="54"/>
        <v/>
      </c>
      <c r="L271" s="8"/>
      <c r="M271" s="26" t="str">
        <f t="shared" si="55"/>
        <v/>
      </c>
      <c r="N271" s="8"/>
      <c r="O271" s="26" t="str">
        <f t="shared" si="56"/>
        <v/>
      </c>
      <c r="P271" s="23" t="str">
        <f t="shared" si="60"/>
        <v/>
      </c>
      <c r="Q271" s="23" t="str">
        <f t="shared" si="61"/>
        <v/>
      </c>
      <c r="R271" s="23" t="str">
        <f t="shared" si="57"/>
        <v/>
      </c>
      <c r="S271" s="23" t="str">
        <f t="shared" si="58"/>
        <v/>
      </c>
      <c r="T271" s="23" t="str">
        <f t="shared" si="59"/>
        <v/>
      </c>
      <c r="U271" s="10"/>
    </row>
    <row r="272" spans="3:21" x14ac:dyDescent="0.25">
      <c r="C272" s="8"/>
      <c r="D272" s="8"/>
      <c r="E272" s="8"/>
      <c r="F272" s="8"/>
      <c r="G272" s="25" t="str">
        <f t="shared" si="52"/>
        <v/>
      </c>
      <c r="H272" s="8"/>
      <c r="I272" s="26" t="str">
        <f t="shared" si="53"/>
        <v/>
      </c>
      <c r="J272" s="8"/>
      <c r="K272" s="26" t="str">
        <f t="shared" si="54"/>
        <v/>
      </c>
      <c r="L272" s="8"/>
      <c r="M272" s="26" t="str">
        <f t="shared" si="55"/>
        <v/>
      </c>
      <c r="N272" s="8"/>
      <c r="O272" s="26" t="str">
        <f t="shared" si="56"/>
        <v/>
      </c>
      <c r="P272" s="23" t="str">
        <f t="shared" si="60"/>
        <v/>
      </c>
      <c r="Q272" s="23" t="str">
        <f t="shared" si="61"/>
        <v/>
      </c>
      <c r="R272" s="23" t="str">
        <f t="shared" si="57"/>
        <v/>
      </c>
      <c r="S272" s="23" t="str">
        <f t="shared" si="58"/>
        <v/>
      </c>
      <c r="T272" s="23" t="str">
        <f t="shared" si="59"/>
        <v/>
      </c>
      <c r="U272" s="10"/>
    </row>
    <row r="273" spans="3:21" x14ac:dyDescent="0.25">
      <c r="C273" s="8"/>
      <c r="D273" s="8"/>
      <c r="E273" s="8"/>
      <c r="F273" s="8"/>
      <c r="G273" s="25" t="str">
        <f t="shared" si="52"/>
        <v/>
      </c>
      <c r="H273" s="8"/>
      <c r="I273" s="26" t="str">
        <f t="shared" si="53"/>
        <v/>
      </c>
      <c r="J273" s="8"/>
      <c r="K273" s="26" t="str">
        <f t="shared" si="54"/>
        <v/>
      </c>
      <c r="L273" s="8"/>
      <c r="M273" s="26" t="str">
        <f t="shared" si="55"/>
        <v/>
      </c>
      <c r="N273" s="8"/>
      <c r="O273" s="26" t="str">
        <f t="shared" si="56"/>
        <v/>
      </c>
      <c r="P273" s="23" t="str">
        <f t="shared" si="60"/>
        <v/>
      </c>
      <c r="Q273" s="23" t="str">
        <f t="shared" si="61"/>
        <v/>
      </c>
      <c r="R273" s="23" t="str">
        <f t="shared" si="57"/>
        <v/>
      </c>
      <c r="S273" s="23" t="str">
        <f t="shared" si="58"/>
        <v/>
      </c>
      <c r="T273" s="23" t="str">
        <f t="shared" si="59"/>
        <v/>
      </c>
      <c r="U273" s="10"/>
    </row>
    <row r="274" spans="3:21" x14ac:dyDescent="0.25">
      <c r="C274" s="8"/>
      <c r="D274" s="8"/>
      <c r="E274" s="8"/>
      <c r="F274" s="8"/>
      <c r="G274" s="25" t="str">
        <f t="shared" si="52"/>
        <v/>
      </c>
      <c r="H274" s="8"/>
      <c r="I274" s="26" t="str">
        <f t="shared" si="53"/>
        <v/>
      </c>
      <c r="J274" s="8"/>
      <c r="K274" s="26" t="str">
        <f t="shared" si="54"/>
        <v/>
      </c>
      <c r="L274" s="8"/>
      <c r="M274" s="26" t="str">
        <f t="shared" si="55"/>
        <v/>
      </c>
      <c r="N274" s="8"/>
      <c r="O274" s="26" t="str">
        <f t="shared" si="56"/>
        <v/>
      </c>
      <c r="P274" s="23" t="str">
        <f t="shared" si="60"/>
        <v/>
      </c>
      <c r="Q274" s="23" t="str">
        <f t="shared" si="61"/>
        <v/>
      </c>
      <c r="R274" s="23" t="str">
        <f t="shared" si="57"/>
        <v/>
      </c>
      <c r="S274" s="23" t="str">
        <f t="shared" si="58"/>
        <v/>
      </c>
      <c r="T274" s="23" t="str">
        <f t="shared" si="59"/>
        <v/>
      </c>
      <c r="U274" s="10"/>
    </row>
    <row r="275" spans="3:21" x14ac:dyDescent="0.25">
      <c r="C275" s="8"/>
      <c r="D275" s="8"/>
      <c r="E275" s="8"/>
      <c r="F275" s="8"/>
      <c r="G275" s="25" t="str">
        <f t="shared" si="52"/>
        <v/>
      </c>
      <c r="H275" s="8"/>
      <c r="I275" s="26" t="str">
        <f t="shared" si="53"/>
        <v/>
      </c>
      <c r="J275" s="8"/>
      <c r="K275" s="26" t="str">
        <f t="shared" si="54"/>
        <v/>
      </c>
      <c r="L275" s="8"/>
      <c r="M275" s="26" t="str">
        <f t="shared" si="55"/>
        <v/>
      </c>
      <c r="N275" s="8"/>
      <c r="O275" s="26" t="str">
        <f t="shared" si="56"/>
        <v/>
      </c>
      <c r="P275" s="23" t="str">
        <f t="shared" si="60"/>
        <v/>
      </c>
      <c r="Q275" s="23" t="str">
        <f t="shared" si="61"/>
        <v/>
      </c>
      <c r="R275" s="23" t="str">
        <f t="shared" si="57"/>
        <v/>
      </c>
      <c r="S275" s="23" t="str">
        <f t="shared" si="58"/>
        <v/>
      </c>
      <c r="T275" s="23" t="str">
        <f t="shared" si="59"/>
        <v/>
      </c>
      <c r="U275" s="10"/>
    </row>
    <row r="276" spans="3:21" x14ac:dyDescent="0.25">
      <c r="C276" s="8"/>
      <c r="D276" s="8"/>
      <c r="E276" s="8"/>
      <c r="F276" s="8"/>
      <c r="G276" s="25" t="str">
        <f t="shared" si="52"/>
        <v/>
      </c>
      <c r="H276" s="8"/>
      <c r="I276" s="26" t="str">
        <f t="shared" si="53"/>
        <v/>
      </c>
      <c r="J276" s="8"/>
      <c r="K276" s="26" t="str">
        <f t="shared" si="54"/>
        <v/>
      </c>
      <c r="L276" s="8"/>
      <c r="M276" s="26" t="str">
        <f t="shared" si="55"/>
        <v/>
      </c>
      <c r="N276" s="8"/>
      <c r="O276" s="26" t="str">
        <f t="shared" si="56"/>
        <v/>
      </c>
      <c r="P276" s="23" t="str">
        <f t="shared" si="60"/>
        <v/>
      </c>
      <c r="Q276" s="23" t="str">
        <f t="shared" si="61"/>
        <v/>
      </c>
      <c r="R276" s="23" t="str">
        <f t="shared" si="57"/>
        <v/>
      </c>
      <c r="S276" s="23" t="str">
        <f t="shared" si="58"/>
        <v/>
      </c>
      <c r="T276" s="23" t="str">
        <f t="shared" si="59"/>
        <v/>
      </c>
      <c r="U276" s="10"/>
    </row>
    <row r="277" spans="3:21" x14ac:dyDescent="0.25">
      <c r="C277" s="8"/>
      <c r="D277" s="8"/>
      <c r="E277" s="8"/>
      <c r="F277" s="8"/>
      <c r="G277" s="25" t="str">
        <f t="shared" si="52"/>
        <v/>
      </c>
      <c r="H277" s="8"/>
      <c r="I277" s="26" t="str">
        <f t="shared" si="53"/>
        <v/>
      </c>
      <c r="J277" s="8"/>
      <c r="K277" s="26" t="str">
        <f t="shared" si="54"/>
        <v/>
      </c>
      <c r="L277" s="8"/>
      <c r="M277" s="26" t="str">
        <f t="shared" si="55"/>
        <v/>
      </c>
      <c r="N277" s="8"/>
      <c r="O277" s="26" t="str">
        <f t="shared" si="56"/>
        <v/>
      </c>
      <c r="P277" s="23" t="str">
        <f t="shared" si="60"/>
        <v/>
      </c>
      <c r="Q277" s="23" t="str">
        <f t="shared" si="61"/>
        <v/>
      </c>
      <c r="R277" s="23" t="str">
        <f t="shared" si="57"/>
        <v/>
      </c>
      <c r="S277" s="23" t="str">
        <f t="shared" si="58"/>
        <v/>
      </c>
      <c r="T277" s="23" t="str">
        <f t="shared" si="59"/>
        <v/>
      </c>
      <c r="U277" s="10"/>
    </row>
    <row r="278" spans="3:21" x14ac:dyDescent="0.25">
      <c r="C278" s="8"/>
      <c r="D278" s="8"/>
      <c r="E278" s="8"/>
      <c r="F278" s="8"/>
      <c r="G278" s="25" t="str">
        <f t="shared" si="52"/>
        <v/>
      </c>
      <c r="H278" s="8"/>
      <c r="I278" s="26" t="str">
        <f t="shared" si="53"/>
        <v/>
      </c>
      <c r="J278" s="8"/>
      <c r="K278" s="26" t="str">
        <f t="shared" si="54"/>
        <v/>
      </c>
      <c r="L278" s="8"/>
      <c r="M278" s="26" t="str">
        <f t="shared" si="55"/>
        <v/>
      </c>
      <c r="N278" s="8"/>
      <c r="O278" s="26" t="str">
        <f t="shared" si="56"/>
        <v/>
      </c>
      <c r="P278" s="23" t="str">
        <f t="shared" si="60"/>
        <v/>
      </c>
      <c r="Q278" s="23" t="str">
        <f t="shared" si="61"/>
        <v/>
      </c>
      <c r="R278" s="23" t="str">
        <f t="shared" si="57"/>
        <v/>
      </c>
      <c r="S278" s="23" t="str">
        <f t="shared" si="58"/>
        <v/>
      </c>
      <c r="T278" s="23" t="str">
        <f t="shared" si="59"/>
        <v/>
      </c>
      <c r="U278" s="10"/>
    </row>
    <row r="279" spans="3:21" x14ac:dyDescent="0.25">
      <c r="C279" s="8"/>
      <c r="D279" s="8"/>
      <c r="E279" s="8"/>
      <c r="F279" s="8"/>
      <c r="G279" s="25" t="str">
        <f t="shared" si="52"/>
        <v/>
      </c>
      <c r="H279" s="8"/>
      <c r="I279" s="26" t="str">
        <f t="shared" si="53"/>
        <v/>
      </c>
      <c r="J279" s="8"/>
      <c r="K279" s="26" t="str">
        <f t="shared" si="54"/>
        <v/>
      </c>
      <c r="L279" s="8"/>
      <c r="M279" s="26" t="str">
        <f t="shared" si="55"/>
        <v/>
      </c>
      <c r="N279" s="8"/>
      <c r="O279" s="26" t="str">
        <f t="shared" si="56"/>
        <v/>
      </c>
      <c r="P279" s="23" t="str">
        <f t="shared" si="60"/>
        <v/>
      </c>
      <c r="Q279" s="23" t="str">
        <f t="shared" si="61"/>
        <v/>
      </c>
      <c r="R279" s="23" t="str">
        <f t="shared" si="57"/>
        <v/>
      </c>
      <c r="S279" s="23" t="str">
        <f t="shared" si="58"/>
        <v/>
      </c>
      <c r="T279" s="23" t="str">
        <f t="shared" si="59"/>
        <v/>
      </c>
      <c r="U279" s="10"/>
    </row>
    <row r="280" spans="3:21" x14ac:dyDescent="0.25">
      <c r="C280" s="8"/>
      <c r="D280" s="8"/>
      <c r="E280" s="8"/>
      <c r="F280" s="8"/>
      <c r="G280" s="25" t="str">
        <f t="shared" si="52"/>
        <v/>
      </c>
      <c r="H280" s="8"/>
      <c r="I280" s="26" t="str">
        <f t="shared" si="53"/>
        <v/>
      </c>
      <c r="J280" s="8"/>
      <c r="K280" s="26" t="str">
        <f t="shared" si="54"/>
        <v/>
      </c>
      <c r="L280" s="8"/>
      <c r="M280" s="26" t="str">
        <f t="shared" si="55"/>
        <v/>
      </c>
      <c r="N280" s="8"/>
      <c r="O280" s="26" t="str">
        <f t="shared" si="56"/>
        <v/>
      </c>
      <c r="P280" s="23" t="str">
        <f t="shared" si="60"/>
        <v/>
      </c>
      <c r="Q280" s="23" t="str">
        <f t="shared" si="61"/>
        <v/>
      </c>
      <c r="R280" s="23" t="str">
        <f t="shared" si="57"/>
        <v/>
      </c>
      <c r="S280" s="23" t="str">
        <f t="shared" si="58"/>
        <v/>
      </c>
      <c r="T280" s="23" t="str">
        <f t="shared" si="59"/>
        <v/>
      </c>
      <c r="U280" s="10"/>
    </row>
    <row r="281" spans="3:21" x14ac:dyDescent="0.25">
      <c r="C281" s="8"/>
      <c r="D281" s="8"/>
      <c r="E281" s="8"/>
      <c r="F281" s="8"/>
      <c r="G281" s="25" t="str">
        <f t="shared" si="52"/>
        <v/>
      </c>
      <c r="H281" s="8"/>
      <c r="I281" s="26" t="str">
        <f t="shared" si="53"/>
        <v/>
      </c>
      <c r="J281" s="8"/>
      <c r="K281" s="26" t="str">
        <f t="shared" si="54"/>
        <v/>
      </c>
      <c r="L281" s="8"/>
      <c r="M281" s="26" t="str">
        <f t="shared" si="55"/>
        <v/>
      </c>
      <c r="N281" s="8"/>
      <c r="O281" s="26" t="str">
        <f t="shared" si="56"/>
        <v/>
      </c>
      <c r="P281" s="23" t="str">
        <f t="shared" si="60"/>
        <v/>
      </c>
      <c r="Q281" s="23" t="str">
        <f t="shared" si="61"/>
        <v/>
      </c>
      <c r="R281" s="23" t="str">
        <f t="shared" si="57"/>
        <v/>
      </c>
      <c r="S281" s="23" t="str">
        <f t="shared" si="58"/>
        <v/>
      </c>
      <c r="T281" s="23" t="str">
        <f t="shared" si="59"/>
        <v/>
      </c>
      <c r="U281" s="10"/>
    </row>
    <row r="282" spans="3:21" x14ac:dyDescent="0.25">
      <c r="C282" s="8"/>
      <c r="D282" s="8"/>
      <c r="E282" s="8"/>
      <c r="F282" s="8"/>
      <c r="G282" s="25" t="str">
        <f t="shared" si="52"/>
        <v/>
      </c>
      <c r="H282" s="8"/>
      <c r="I282" s="26" t="str">
        <f t="shared" si="53"/>
        <v/>
      </c>
      <c r="J282" s="8"/>
      <c r="K282" s="26" t="str">
        <f t="shared" si="54"/>
        <v/>
      </c>
      <c r="L282" s="8"/>
      <c r="M282" s="26" t="str">
        <f t="shared" si="55"/>
        <v/>
      </c>
      <c r="N282" s="8"/>
      <c r="O282" s="26" t="str">
        <f t="shared" si="56"/>
        <v/>
      </c>
      <c r="P282" s="23" t="str">
        <f t="shared" si="60"/>
        <v/>
      </c>
      <c r="Q282" s="23" t="str">
        <f t="shared" si="61"/>
        <v/>
      </c>
      <c r="R282" s="23" t="str">
        <f t="shared" si="57"/>
        <v/>
      </c>
      <c r="S282" s="23" t="str">
        <f t="shared" si="58"/>
        <v/>
      </c>
      <c r="T282" s="23" t="str">
        <f t="shared" si="59"/>
        <v/>
      </c>
      <c r="U282" s="10"/>
    </row>
    <row r="283" spans="3:21" x14ac:dyDescent="0.25">
      <c r="C283" s="8"/>
      <c r="D283" s="8"/>
      <c r="E283" s="8"/>
      <c r="F283" s="8"/>
      <c r="G283" s="25" t="str">
        <f t="shared" si="52"/>
        <v/>
      </c>
      <c r="H283" s="8"/>
      <c r="I283" s="26" t="str">
        <f t="shared" si="53"/>
        <v/>
      </c>
      <c r="J283" s="8"/>
      <c r="K283" s="26" t="str">
        <f t="shared" si="54"/>
        <v/>
      </c>
      <c r="L283" s="8"/>
      <c r="M283" s="26" t="str">
        <f t="shared" si="55"/>
        <v/>
      </c>
      <c r="N283" s="8"/>
      <c r="O283" s="26" t="str">
        <f t="shared" si="56"/>
        <v/>
      </c>
      <c r="P283" s="23" t="str">
        <f t="shared" si="60"/>
        <v/>
      </c>
      <c r="Q283" s="23" t="str">
        <f t="shared" si="61"/>
        <v/>
      </c>
      <c r="R283" s="23" t="str">
        <f t="shared" si="57"/>
        <v/>
      </c>
      <c r="S283" s="23" t="str">
        <f t="shared" si="58"/>
        <v/>
      </c>
      <c r="T283" s="23" t="str">
        <f t="shared" si="59"/>
        <v/>
      </c>
      <c r="U283" s="10"/>
    </row>
    <row r="284" spans="3:21" x14ac:dyDescent="0.25">
      <c r="C284" s="8"/>
      <c r="D284" s="8"/>
      <c r="E284" s="8"/>
      <c r="F284" s="8"/>
      <c r="G284" s="25" t="str">
        <f t="shared" si="52"/>
        <v/>
      </c>
      <c r="H284" s="8"/>
      <c r="I284" s="26" t="str">
        <f t="shared" si="53"/>
        <v/>
      </c>
      <c r="J284" s="8"/>
      <c r="K284" s="26" t="str">
        <f t="shared" si="54"/>
        <v/>
      </c>
      <c r="L284" s="8"/>
      <c r="M284" s="26" t="str">
        <f t="shared" si="55"/>
        <v/>
      </c>
      <c r="N284" s="8"/>
      <c r="O284" s="26" t="str">
        <f t="shared" si="56"/>
        <v/>
      </c>
      <c r="P284" s="23" t="str">
        <f t="shared" si="60"/>
        <v/>
      </c>
      <c r="Q284" s="23" t="str">
        <f t="shared" si="61"/>
        <v/>
      </c>
      <c r="R284" s="23" t="str">
        <f t="shared" si="57"/>
        <v/>
      </c>
      <c r="S284" s="23" t="str">
        <f t="shared" si="58"/>
        <v/>
      </c>
      <c r="T284" s="23" t="str">
        <f t="shared" si="59"/>
        <v/>
      </c>
      <c r="U284" s="10"/>
    </row>
    <row r="285" spans="3:21" x14ac:dyDescent="0.25">
      <c r="C285" s="8"/>
      <c r="D285" s="8"/>
      <c r="E285" s="8"/>
      <c r="F285" s="8"/>
      <c r="G285" s="25" t="str">
        <f t="shared" si="52"/>
        <v/>
      </c>
      <c r="H285" s="8"/>
      <c r="I285" s="26" t="str">
        <f t="shared" si="53"/>
        <v/>
      </c>
      <c r="J285" s="8"/>
      <c r="K285" s="26" t="str">
        <f t="shared" si="54"/>
        <v/>
      </c>
      <c r="L285" s="8"/>
      <c r="M285" s="26" t="str">
        <f t="shared" si="55"/>
        <v/>
      </c>
      <c r="N285" s="8"/>
      <c r="O285" s="26" t="str">
        <f t="shared" si="56"/>
        <v/>
      </c>
      <c r="P285" s="23" t="str">
        <f t="shared" si="60"/>
        <v/>
      </c>
      <c r="Q285" s="23" t="str">
        <f t="shared" si="61"/>
        <v/>
      </c>
      <c r="R285" s="23" t="str">
        <f t="shared" si="57"/>
        <v/>
      </c>
      <c r="S285" s="23" t="str">
        <f t="shared" si="58"/>
        <v/>
      </c>
      <c r="T285" s="23" t="str">
        <f t="shared" si="59"/>
        <v/>
      </c>
      <c r="U285" s="10"/>
    </row>
    <row r="286" spans="3:21" x14ac:dyDescent="0.25">
      <c r="C286" s="8"/>
      <c r="D286" s="8"/>
      <c r="E286" s="8"/>
      <c r="F286" s="8"/>
      <c r="G286" s="25" t="str">
        <f t="shared" si="52"/>
        <v/>
      </c>
      <c r="H286" s="8"/>
      <c r="I286" s="26" t="str">
        <f t="shared" si="53"/>
        <v/>
      </c>
      <c r="J286" s="8"/>
      <c r="K286" s="26" t="str">
        <f t="shared" si="54"/>
        <v/>
      </c>
      <c r="L286" s="8"/>
      <c r="M286" s="26" t="str">
        <f t="shared" si="55"/>
        <v/>
      </c>
      <c r="N286" s="8"/>
      <c r="O286" s="26" t="str">
        <f t="shared" si="56"/>
        <v/>
      </c>
      <c r="P286" s="23" t="str">
        <f t="shared" si="60"/>
        <v/>
      </c>
      <c r="Q286" s="23" t="str">
        <f t="shared" si="61"/>
        <v/>
      </c>
      <c r="R286" s="23" t="str">
        <f t="shared" si="57"/>
        <v/>
      </c>
      <c r="S286" s="23" t="str">
        <f t="shared" si="58"/>
        <v/>
      </c>
      <c r="T286" s="23" t="str">
        <f t="shared" si="59"/>
        <v/>
      </c>
      <c r="U286" s="10"/>
    </row>
    <row r="287" spans="3:21" x14ac:dyDescent="0.25">
      <c r="C287" s="8"/>
      <c r="D287" s="8"/>
      <c r="E287" s="8"/>
      <c r="F287" s="8"/>
      <c r="G287" s="25" t="str">
        <f t="shared" ref="G287:G350" si="62">IF(F287="","",VLOOKUP(F287,$Y$4:$Z$15,2,TRUE))</f>
        <v/>
      </c>
      <c r="H287" s="8"/>
      <c r="I287" s="26" t="str">
        <f t="shared" ref="I287:I350" si="63">IF(H287="","",VLOOKUP(H287,$Y$4:$Z$15,2,TRUE))</f>
        <v/>
      </c>
      <c r="J287" s="8"/>
      <c r="K287" s="26" t="str">
        <f t="shared" ref="K287:K350" si="64">IF(J287="","",VLOOKUP(J287,$Y$4:$Z$15,2,TRUE))</f>
        <v/>
      </c>
      <c r="L287" s="8"/>
      <c r="M287" s="26" t="str">
        <f t="shared" ref="M287:M350" si="65">IF(L287="","",VLOOKUP(L287,$Y$4:$Z$15,2,TRUE))</f>
        <v/>
      </c>
      <c r="N287" s="8"/>
      <c r="O287" s="26" t="str">
        <f t="shared" ref="O287:O350" si="66">IF(N287="","",VLOOKUP(N287,$Y$4:$Z$15,2,TRUE))</f>
        <v/>
      </c>
      <c r="P287" s="23" t="str">
        <f t="shared" si="60"/>
        <v/>
      </c>
      <c r="Q287" s="23" t="str">
        <f t="shared" si="61"/>
        <v/>
      </c>
      <c r="R287" s="23" t="str">
        <f t="shared" ref="R287:R350" si="67">IF(Q287="","",VLOOKUP(Q287,$W$4:$X$15,2,TRUE))</f>
        <v/>
      </c>
      <c r="S287" s="23" t="str">
        <f t="shared" ref="S287:S350" si="68">IF(P287="","",RANK(P287,$P$5:$P$998,0))</f>
        <v/>
      </c>
      <c r="T287" s="23" t="str">
        <f t="shared" ref="T287:T350" si="69">IFERROR(VLOOKUP(R287,$AA$4:$AB$15,2,FALSE),"")</f>
        <v/>
      </c>
      <c r="U287" s="10"/>
    </row>
    <row r="288" spans="3:21" x14ac:dyDescent="0.25">
      <c r="C288" s="8"/>
      <c r="D288" s="8"/>
      <c r="E288" s="8"/>
      <c r="F288" s="8"/>
      <c r="G288" s="25" t="str">
        <f t="shared" si="62"/>
        <v/>
      </c>
      <c r="H288" s="8"/>
      <c r="I288" s="26" t="str">
        <f t="shared" si="63"/>
        <v/>
      </c>
      <c r="J288" s="8"/>
      <c r="K288" s="26" t="str">
        <f t="shared" si="64"/>
        <v/>
      </c>
      <c r="L288" s="8"/>
      <c r="M288" s="26" t="str">
        <f t="shared" si="65"/>
        <v/>
      </c>
      <c r="N288" s="8"/>
      <c r="O288" s="26" t="str">
        <f t="shared" si="66"/>
        <v/>
      </c>
      <c r="P288" s="23" t="str">
        <f t="shared" si="60"/>
        <v/>
      </c>
      <c r="Q288" s="23" t="str">
        <f t="shared" si="61"/>
        <v/>
      </c>
      <c r="R288" s="23" t="str">
        <f t="shared" si="67"/>
        <v/>
      </c>
      <c r="S288" s="23" t="str">
        <f t="shared" si="68"/>
        <v/>
      </c>
      <c r="T288" s="23" t="str">
        <f t="shared" si="69"/>
        <v/>
      </c>
      <c r="U288" s="10"/>
    </row>
    <row r="289" spans="3:21" x14ac:dyDescent="0.25">
      <c r="C289" s="8"/>
      <c r="D289" s="8"/>
      <c r="E289" s="8"/>
      <c r="F289" s="8"/>
      <c r="G289" s="25" t="str">
        <f t="shared" si="62"/>
        <v/>
      </c>
      <c r="H289" s="8"/>
      <c r="I289" s="26" t="str">
        <f t="shared" si="63"/>
        <v/>
      </c>
      <c r="J289" s="8"/>
      <c r="K289" s="26" t="str">
        <f t="shared" si="64"/>
        <v/>
      </c>
      <c r="L289" s="8"/>
      <c r="M289" s="26" t="str">
        <f t="shared" si="65"/>
        <v/>
      </c>
      <c r="N289" s="8"/>
      <c r="O289" s="26" t="str">
        <f t="shared" si="66"/>
        <v/>
      </c>
      <c r="P289" s="23" t="str">
        <f t="shared" si="60"/>
        <v/>
      </c>
      <c r="Q289" s="23" t="str">
        <f t="shared" si="61"/>
        <v/>
      </c>
      <c r="R289" s="23" t="str">
        <f t="shared" si="67"/>
        <v/>
      </c>
      <c r="S289" s="23" t="str">
        <f t="shared" si="68"/>
        <v/>
      </c>
      <c r="T289" s="23" t="str">
        <f t="shared" si="69"/>
        <v/>
      </c>
      <c r="U289" s="10"/>
    </row>
    <row r="290" spans="3:21" x14ac:dyDescent="0.25">
      <c r="C290" s="8"/>
      <c r="D290" s="8"/>
      <c r="E290" s="8"/>
      <c r="F290" s="8"/>
      <c r="G290" s="25" t="str">
        <f t="shared" si="62"/>
        <v/>
      </c>
      <c r="H290" s="8"/>
      <c r="I290" s="26" t="str">
        <f t="shared" si="63"/>
        <v/>
      </c>
      <c r="J290" s="8"/>
      <c r="K290" s="26" t="str">
        <f t="shared" si="64"/>
        <v/>
      </c>
      <c r="L290" s="8"/>
      <c r="M290" s="26" t="str">
        <f t="shared" si="65"/>
        <v/>
      </c>
      <c r="N290" s="8"/>
      <c r="O290" s="26" t="str">
        <f t="shared" si="66"/>
        <v/>
      </c>
      <c r="P290" s="23" t="str">
        <f t="shared" si="60"/>
        <v/>
      </c>
      <c r="Q290" s="23" t="str">
        <f t="shared" si="61"/>
        <v/>
      </c>
      <c r="R290" s="23" t="str">
        <f t="shared" si="67"/>
        <v/>
      </c>
      <c r="S290" s="23" t="str">
        <f t="shared" si="68"/>
        <v/>
      </c>
      <c r="T290" s="23" t="str">
        <f t="shared" si="69"/>
        <v/>
      </c>
      <c r="U290" s="10"/>
    </row>
    <row r="291" spans="3:21" x14ac:dyDescent="0.25">
      <c r="C291" s="8"/>
      <c r="D291" s="8"/>
      <c r="E291" s="8"/>
      <c r="F291" s="8"/>
      <c r="G291" s="25" t="str">
        <f t="shared" si="62"/>
        <v/>
      </c>
      <c r="H291" s="8"/>
      <c r="I291" s="26" t="str">
        <f t="shared" si="63"/>
        <v/>
      </c>
      <c r="J291" s="8"/>
      <c r="K291" s="26" t="str">
        <f t="shared" si="64"/>
        <v/>
      </c>
      <c r="L291" s="8"/>
      <c r="M291" s="26" t="str">
        <f t="shared" si="65"/>
        <v/>
      </c>
      <c r="N291" s="8"/>
      <c r="O291" s="26" t="str">
        <f t="shared" si="66"/>
        <v/>
      </c>
      <c r="P291" s="23" t="str">
        <f t="shared" si="60"/>
        <v/>
      </c>
      <c r="Q291" s="23" t="str">
        <f t="shared" si="61"/>
        <v/>
      </c>
      <c r="R291" s="23" t="str">
        <f t="shared" si="67"/>
        <v/>
      </c>
      <c r="S291" s="23" t="str">
        <f t="shared" si="68"/>
        <v/>
      </c>
      <c r="T291" s="23" t="str">
        <f t="shared" si="69"/>
        <v/>
      </c>
      <c r="U291" s="10"/>
    </row>
    <row r="292" spans="3:21" x14ac:dyDescent="0.25">
      <c r="C292" s="8"/>
      <c r="D292" s="8"/>
      <c r="E292" s="8"/>
      <c r="F292" s="8"/>
      <c r="G292" s="25" t="str">
        <f t="shared" si="62"/>
        <v/>
      </c>
      <c r="H292" s="8"/>
      <c r="I292" s="26" t="str">
        <f t="shared" si="63"/>
        <v/>
      </c>
      <c r="J292" s="8"/>
      <c r="K292" s="26" t="str">
        <f t="shared" si="64"/>
        <v/>
      </c>
      <c r="L292" s="8"/>
      <c r="M292" s="26" t="str">
        <f t="shared" si="65"/>
        <v/>
      </c>
      <c r="N292" s="8"/>
      <c r="O292" s="26" t="str">
        <f t="shared" si="66"/>
        <v/>
      </c>
      <c r="P292" s="23" t="str">
        <f t="shared" si="60"/>
        <v/>
      </c>
      <c r="Q292" s="23" t="str">
        <f t="shared" si="61"/>
        <v/>
      </c>
      <c r="R292" s="23" t="str">
        <f t="shared" si="67"/>
        <v/>
      </c>
      <c r="S292" s="23" t="str">
        <f t="shared" si="68"/>
        <v/>
      </c>
      <c r="T292" s="23" t="str">
        <f t="shared" si="69"/>
        <v/>
      </c>
      <c r="U292" s="10"/>
    </row>
    <row r="293" spans="3:21" x14ac:dyDescent="0.25">
      <c r="C293" s="8"/>
      <c r="D293" s="8"/>
      <c r="E293" s="8"/>
      <c r="F293" s="8"/>
      <c r="G293" s="25" t="str">
        <f t="shared" si="62"/>
        <v/>
      </c>
      <c r="H293" s="8"/>
      <c r="I293" s="26" t="str">
        <f t="shared" si="63"/>
        <v/>
      </c>
      <c r="J293" s="8"/>
      <c r="K293" s="26" t="str">
        <f t="shared" si="64"/>
        <v/>
      </c>
      <c r="L293" s="8"/>
      <c r="M293" s="26" t="str">
        <f t="shared" si="65"/>
        <v/>
      </c>
      <c r="N293" s="8"/>
      <c r="O293" s="26" t="str">
        <f t="shared" si="66"/>
        <v/>
      </c>
      <c r="P293" s="23" t="str">
        <f t="shared" si="60"/>
        <v/>
      </c>
      <c r="Q293" s="23" t="str">
        <f t="shared" si="61"/>
        <v/>
      </c>
      <c r="R293" s="23" t="str">
        <f t="shared" si="67"/>
        <v/>
      </c>
      <c r="S293" s="23" t="str">
        <f t="shared" si="68"/>
        <v/>
      </c>
      <c r="T293" s="23" t="str">
        <f t="shared" si="69"/>
        <v/>
      </c>
      <c r="U293" s="10"/>
    </row>
    <row r="294" spans="3:21" x14ac:dyDescent="0.25">
      <c r="C294" s="8"/>
      <c r="D294" s="8"/>
      <c r="E294" s="8"/>
      <c r="F294" s="8"/>
      <c r="G294" s="25" t="str">
        <f t="shared" si="62"/>
        <v/>
      </c>
      <c r="H294" s="8"/>
      <c r="I294" s="26" t="str">
        <f t="shared" si="63"/>
        <v/>
      </c>
      <c r="J294" s="8"/>
      <c r="K294" s="26" t="str">
        <f t="shared" si="64"/>
        <v/>
      </c>
      <c r="L294" s="8"/>
      <c r="M294" s="26" t="str">
        <f t="shared" si="65"/>
        <v/>
      </c>
      <c r="N294" s="8"/>
      <c r="O294" s="26" t="str">
        <f t="shared" si="66"/>
        <v/>
      </c>
      <c r="P294" s="23" t="str">
        <f t="shared" si="60"/>
        <v/>
      </c>
      <c r="Q294" s="23" t="str">
        <f t="shared" si="61"/>
        <v/>
      </c>
      <c r="R294" s="23" t="str">
        <f t="shared" si="67"/>
        <v/>
      </c>
      <c r="S294" s="23" t="str">
        <f t="shared" si="68"/>
        <v/>
      </c>
      <c r="T294" s="23" t="str">
        <f t="shared" si="69"/>
        <v/>
      </c>
      <c r="U294" s="10"/>
    </row>
    <row r="295" spans="3:21" x14ac:dyDescent="0.25">
      <c r="C295" s="8"/>
      <c r="D295" s="8"/>
      <c r="E295" s="8"/>
      <c r="F295" s="8"/>
      <c r="G295" s="25" t="str">
        <f t="shared" si="62"/>
        <v/>
      </c>
      <c r="H295" s="8"/>
      <c r="I295" s="26" t="str">
        <f t="shared" si="63"/>
        <v/>
      </c>
      <c r="J295" s="8"/>
      <c r="K295" s="26" t="str">
        <f t="shared" si="64"/>
        <v/>
      </c>
      <c r="L295" s="8"/>
      <c r="M295" s="26" t="str">
        <f t="shared" si="65"/>
        <v/>
      </c>
      <c r="N295" s="8"/>
      <c r="O295" s="26" t="str">
        <f t="shared" si="66"/>
        <v/>
      </c>
      <c r="P295" s="23" t="str">
        <f t="shared" si="60"/>
        <v/>
      </c>
      <c r="Q295" s="23" t="str">
        <f t="shared" si="61"/>
        <v/>
      </c>
      <c r="R295" s="23" t="str">
        <f t="shared" si="67"/>
        <v/>
      </c>
      <c r="S295" s="23" t="str">
        <f t="shared" si="68"/>
        <v/>
      </c>
      <c r="T295" s="23" t="str">
        <f t="shared" si="69"/>
        <v/>
      </c>
      <c r="U295" s="10"/>
    </row>
    <row r="296" spans="3:21" x14ac:dyDescent="0.25">
      <c r="C296" s="8"/>
      <c r="D296" s="8"/>
      <c r="E296" s="8"/>
      <c r="F296" s="8"/>
      <c r="G296" s="25" t="str">
        <f t="shared" si="62"/>
        <v/>
      </c>
      <c r="H296" s="8"/>
      <c r="I296" s="26" t="str">
        <f t="shared" si="63"/>
        <v/>
      </c>
      <c r="J296" s="8"/>
      <c r="K296" s="26" t="str">
        <f t="shared" si="64"/>
        <v/>
      </c>
      <c r="L296" s="8"/>
      <c r="M296" s="26" t="str">
        <f t="shared" si="65"/>
        <v/>
      </c>
      <c r="N296" s="8"/>
      <c r="O296" s="26" t="str">
        <f t="shared" si="66"/>
        <v/>
      </c>
      <c r="P296" s="23" t="str">
        <f t="shared" si="60"/>
        <v/>
      </c>
      <c r="Q296" s="23" t="str">
        <f t="shared" si="61"/>
        <v/>
      </c>
      <c r="R296" s="23" t="str">
        <f t="shared" si="67"/>
        <v/>
      </c>
      <c r="S296" s="23" t="str">
        <f t="shared" si="68"/>
        <v/>
      </c>
      <c r="T296" s="23" t="str">
        <f t="shared" si="69"/>
        <v/>
      </c>
      <c r="U296" s="10"/>
    </row>
    <row r="297" spans="3:21" x14ac:dyDescent="0.25">
      <c r="C297" s="8"/>
      <c r="D297" s="8"/>
      <c r="E297" s="8"/>
      <c r="F297" s="8"/>
      <c r="G297" s="25" t="str">
        <f t="shared" si="62"/>
        <v/>
      </c>
      <c r="H297" s="8"/>
      <c r="I297" s="26" t="str">
        <f t="shared" si="63"/>
        <v/>
      </c>
      <c r="J297" s="8"/>
      <c r="K297" s="26" t="str">
        <f t="shared" si="64"/>
        <v/>
      </c>
      <c r="L297" s="8"/>
      <c r="M297" s="26" t="str">
        <f t="shared" si="65"/>
        <v/>
      </c>
      <c r="N297" s="8"/>
      <c r="O297" s="26" t="str">
        <f t="shared" si="66"/>
        <v/>
      </c>
      <c r="P297" s="23" t="str">
        <f t="shared" si="60"/>
        <v/>
      </c>
      <c r="Q297" s="23" t="str">
        <f t="shared" si="61"/>
        <v/>
      </c>
      <c r="R297" s="23" t="str">
        <f t="shared" si="67"/>
        <v/>
      </c>
      <c r="S297" s="23" t="str">
        <f t="shared" si="68"/>
        <v/>
      </c>
      <c r="T297" s="23" t="str">
        <f t="shared" si="69"/>
        <v/>
      </c>
      <c r="U297" s="10"/>
    </row>
    <row r="298" spans="3:21" x14ac:dyDescent="0.25">
      <c r="C298" s="8"/>
      <c r="D298" s="8"/>
      <c r="E298" s="8"/>
      <c r="F298" s="8"/>
      <c r="G298" s="25" t="str">
        <f t="shared" si="62"/>
        <v/>
      </c>
      <c r="H298" s="8"/>
      <c r="I298" s="26" t="str">
        <f t="shared" si="63"/>
        <v/>
      </c>
      <c r="J298" s="8"/>
      <c r="K298" s="26" t="str">
        <f t="shared" si="64"/>
        <v/>
      </c>
      <c r="L298" s="8"/>
      <c r="M298" s="26" t="str">
        <f t="shared" si="65"/>
        <v/>
      </c>
      <c r="N298" s="8"/>
      <c r="O298" s="26" t="str">
        <f t="shared" si="66"/>
        <v/>
      </c>
      <c r="P298" s="23" t="str">
        <f t="shared" si="60"/>
        <v/>
      </c>
      <c r="Q298" s="23" t="str">
        <f t="shared" si="61"/>
        <v/>
      </c>
      <c r="R298" s="23" t="str">
        <f t="shared" si="67"/>
        <v/>
      </c>
      <c r="S298" s="23" t="str">
        <f t="shared" si="68"/>
        <v/>
      </c>
      <c r="T298" s="23" t="str">
        <f t="shared" si="69"/>
        <v/>
      </c>
      <c r="U298" s="10"/>
    </row>
    <row r="299" spans="3:21" x14ac:dyDescent="0.25">
      <c r="C299" s="8"/>
      <c r="D299" s="8"/>
      <c r="E299" s="8"/>
      <c r="F299" s="8"/>
      <c r="G299" s="25" t="str">
        <f t="shared" si="62"/>
        <v/>
      </c>
      <c r="H299" s="8"/>
      <c r="I299" s="26" t="str">
        <f t="shared" si="63"/>
        <v/>
      </c>
      <c r="J299" s="8"/>
      <c r="K299" s="26" t="str">
        <f t="shared" si="64"/>
        <v/>
      </c>
      <c r="L299" s="8"/>
      <c r="M299" s="26" t="str">
        <f t="shared" si="65"/>
        <v/>
      </c>
      <c r="N299" s="8"/>
      <c r="O299" s="26" t="str">
        <f t="shared" si="66"/>
        <v/>
      </c>
      <c r="P299" s="23" t="str">
        <f t="shared" si="60"/>
        <v/>
      </c>
      <c r="Q299" s="23" t="str">
        <f t="shared" si="61"/>
        <v/>
      </c>
      <c r="R299" s="23" t="str">
        <f t="shared" si="67"/>
        <v/>
      </c>
      <c r="S299" s="23" t="str">
        <f t="shared" si="68"/>
        <v/>
      </c>
      <c r="T299" s="23" t="str">
        <f t="shared" si="69"/>
        <v/>
      </c>
      <c r="U299" s="10"/>
    </row>
    <row r="300" spans="3:21" x14ac:dyDescent="0.25">
      <c r="C300" s="8"/>
      <c r="D300" s="8"/>
      <c r="E300" s="8"/>
      <c r="F300" s="8"/>
      <c r="G300" s="25" t="str">
        <f t="shared" si="62"/>
        <v/>
      </c>
      <c r="H300" s="8"/>
      <c r="I300" s="26" t="str">
        <f t="shared" si="63"/>
        <v/>
      </c>
      <c r="J300" s="8"/>
      <c r="K300" s="26" t="str">
        <f t="shared" si="64"/>
        <v/>
      </c>
      <c r="L300" s="8"/>
      <c r="M300" s="26" t="str">
        <f t="shared" si="65"/>
        <v/>
      </c>
      <c r="N300" s="8"/>
      <c r="O300" s="26" t="str">
        <f t="shared" si="66"/>
        <v/>
      </c>
      <c r="P300" s="23" t="str">
        <f t="shared" si="60"/>
        <v/>
      </c>
      <c r="Q300" s="23" t="str">
        <f t="shared" si="61"/>
        <v/>
      </c>
      <c r="R300" s="23" t="str">
        <f t="shared" si="67"/>
        <v/>
      </c>
      <c r="S300" s="23" t="str">
        <f t="shared" si="68"/>
        <v/>
      </c>
      <c r="T300" s="23" t="str">
        <f t="shared" si="69"/>
        <v/>
      </c>
      <c r="U300" s="10"/>
    </row>
    <row r="301" spans="3:21" x14ac:dyDescent="0.25">
      <c r="C301" s="8"/>
      <c r="D301" s="8"/>
      <c r="E301" s="8"/>
      <c r="F301" s="8"/>
      <c r="G301" s="25" t="str">
        <f t="shared" si="62"/>
        <v/>
      </c>
      <c r="H301" s="8"/>
      <c r="I301" s="26" t="str">
        <f t="shared" si="63"/>
        <v/>
      </c>
      <c r="J301" s="8"/>
      <c r="K301" s="26" t="str">
        <f t="shared" si="64"/>
        <v/>
      </c>
      <c r="L301" s="8"/>
      <c r="M301" s="26" t="str">
        <f t="shared" si="65"/>
        <v/>
      </c>
      <c r="N301" s="8"/>
      <c r="O301" s="26" t="str">
        <f t="shared" si="66"/>
        <v/>
      </c>
      <c r="P301" s="23" t="str">
        <f t="shared" si="60"/>
        <v/>
      </c>
      <c r="Q301" s="23" t="str">
        <f t="shared" si="61"/>
        <v/>
      </c>
      <c r="R301" s="23" t="str">
        <f t="shared" si="67"/>
        <v/>
      </c>
      <c r="S301" s="23" t="str">
        <f t="shared" si="68"/>
        <v/>
      </c>
      <c r="T301" s="23" t="str">
        <f t="shared" si="69"/>
        <v/>
      </c>
      <c r="U301" s="10"/>
    </row>
    <row r="302" spans="3:21" x14ac:dyDescent="0.25">
      <c r="C302" s="8"/>
      <c r="D302" s="8"/>
      <c r="E302" s="8"/>
      <c r="F302" s="8"/>
      <c r="G302" s="25" t="str">
        <f t="shared" si="62"/>
        <v/>
      </c>
      <c r="H302" s="8"/>
      <c r="I302" s="26" t="str">
        <f t="shared" si="63"/>
        <v/>
      </c>
      <c r="J302" s="8"/>
      <c r="K302" s="26" t="str">
        <f t="shared" si="64"/>
        <v/>
      </c>
      <c r="L302" s="8"/>
      <c r="M302" s="26" t="str">
        <f t="shared" si="65"/>
        <v/>
      </c>
      <c r="N302" s="8"/>
      <c r="O302" s="26" t="str">
        <f t="shared" si="66"/>
        <v/>
      </c>
      <c r="P302" s="23" t="str">
        <f t="shared" si="60"/>
        <v/>
      </c>
      <c r="Q302" s="23" t="str">
        <f t="shared" si="61"/>
        <v/>
      </c>
      <c r="R302" s="23" t="str">
        <f t="shared" si="67"/>
        <v/>
      </c>
      <c r="S302" s="23" t="str">
        <f t="shared" si="68"/>
        <v/>
      </c>
      <c r="T302" s="23" t="str">
        <f t="shared" si="69"/>
        <v/>
      </c>
      <c r="U302" s="10"/>
    </row>
    <row r="303" spans="3:21" x14ac:dyDescent="0.25">
      <c r="C303" s="8"/>
      <c r="D303" s="8"/>
      <c r="E303" s="8"/>
      <c r="F303" s="8"/>
      <c r="G303" s="25" t="str">
        <f t="shared" si="62"/>
        <v/>
      </c>
      <c r="H303" s="8"/>
      <c r="I303" s="26" t="str">
        <f t="shared" si="63"/>
        <v/>
      </c>
      <c r="J303" s="8"/>
      <c r="K303" s="26" t="str">
        <f t="shared" si="64"/>
        <v/>
      </c>
      <c r="L303" s="8"/>
      <c r="M303" s="26" t="str">
        <f t="shared" si="65"/>
        <v/>
      </c>
      <c r="N303" s="8"/>
      <c r="O303" s="26" t="str">
        <f t="shared" si="66"/>
        <v/>
      </c>
      <c r="P303" s="23" t="str">
        <f t="shared" si="60"/>
        <v/>
      </c>
      <c r="Q303" s="23" t="str">
        <f t="shared" si="61"/>
        <v/>
      </c>
      <c r="R303" s="23" t="str">
        <f t="shared" si="67"/>
        <v/>
      </c>
      <c r="S303" s="23" t="str">
        <f t="shared" si="68"/>
        <v/>
      </c>
      <c r="T303" s="23" t="str">
        <f t="shared" si="69"/>
        <v/>
      </c>
      <c r="U303" s="10"/>
    </row>
    <row r="304" spans="3:21" x14ac:dyDescent="0.25">
      <c r="C304" s="8"/>
      <c r="D304" s="8"/>
      <c r="E304" s="8"/>
      <c r="F304" s="8"/>
      <c r="G304" s="25" t="str">
        <f t="shared" si="62"/>
        <v/>
      </c>
      <c r="H304" s="8"/>
      <c r="I304" s="26" t="str">
        <f t="shared" si="63"/>
        <v/>
      </c>
      <c r="J304" s="8"/>
      <c r="K304" s="26" t="str">
        <f t="shared" si="64"/>
        <v/>
      </c>
      <c r="L304" s="8"/>
      <c r="M304" s="26" t="str">
        <f t="shared" si="65"/>
        <v/>
      </c>
      <c r="N304" s="8"/>
      <c r="O304" s="26" t="str">
        <f t="shared" si="66"/>
        <v/>
      </c>
      <c r="P304" s="23" t="str">
        <f t="shared" si="60"/>
        <v/>
      </c>
      <c r="Q304" s="23" t="str">
        <f t="shared" si="61"/>
        <v/>
      </c>
      <c r="R304" s="23" t="str">
        <f t="shared" si="67"/>
        <v/>
      </c>
      <c r="S304" s="23" t="str">
        <f t="shared" si="68"/>
        <v/>
      </c>
      <c r="T304" s="23" t="str">
        <f t="shared" si="69"/>
        <v/>
      </c>
      <c r="U304" s="10"/>
    </row>
    <row r="305" spans="3:21" x14ac:dyDescent="0.25">
      <c r="C305" s="8"/>
      <c r="D305" s="8"/>
      <c r="E305" s="8"/>
      <c r="F305" s="8"/>
      <c r="G305" s="25" t="str">
        <f t="shared" si="62"/>
        <v/>
      </c>
      <c r="H305" s="8"/>
      <c r="I305" s="26" t="str">
        <f t="shared" si="63"/>
        <v/>
      </c>
      <c r="J305" s="8"/>
      <c r="K305" s="26" t="str">
        <f t="shared" si="64"/>
        <v/>
      </c>
      <c r="L305" s="8"/>
      <c r="M305" s="26" t="str">
        <f t="shared" si="65"/>
        <v/>
      </c>
      <c r="N305" s="8"/>
      <c r="O305" s="26" t="str">
        <f t="shared" si="66"/>
        <v/>
      </c>
      <c r="P305" s="23" t="str">
        <f t="shared" si="60"/>
        <v/>
      </c>
      <c r="Q305" s="23" t="str">
        <f t="shared" si="61"/>
        <v/>
      </c>
      <c r="R305" s="23" t="str">
        <f t="shared" si="67"/>
        <v/>
      </c>
      <c r="S305" s="23" t="str">
        <f t="shared" si="68"/>
        <v/>
      </c>
      <c r="T305" s="23" t="str">
        <f t="shared" si="69"/>
        <v/>
      </c>
      <c r="U305" s="10"/>
    </row>
    <row r="306" spans="3:21" x14ac:dyDescent="0.25">
      <c r="C306" s="8"/>
      <c r="D306" s="8"/>
      <c r="E306" s="8"/>
      <c r="F306" s="8"/>
      <c r="G306" s="25" t="str">
        <f t="shared" si="62"/>
        <v/>
      </c>
      <c r="H306" s="8"/>
      <c r="I306" s="26" t="str">
        <f t="shared" si="63"/>
        <v/>
      </c>
      <c r="J306" s="8"/>
      <c r="K306" s="26" t="str">
        <f t="shared" si="64"/>
        <v/>
      </c>
      <c r="L306" s="8"/>
      <c r="M306" s="26" t="str">
        <f t="shared" si="65"/>
        <v/>
      </c>
      <c r="N306" s="8"/>
      <c r="O306" s="26" t="str">
        <f t="shared" si="66"/>
        <v/>
      </c>
      <c r="P306" s="23" t="str">
        <f t="shared" si="60"/>
        <v/>
      </c>
      <c r="Q306" s="23" t="str">
        <f t="shared" si="61"/>
        <v/>
      </c>
      <c r="R306" s="23" t="str">
        <f t="shared" si="67"/>
        <v/>
      </c>
      <c r="S306" s="23" t="str">
        <f t="shared" si="68"/>
        <v/>
      </c>
      <c r="T306" s="23" t="str">
        <f t="shared" si="69"/>
        <v/>
      </c>
      <c r="U306" s="10"/>
    </row>
    <row r="307" spans="3:21" x14ac:dyDescent="0.25">
      <c r="C307" s="8"/>
      <c r="D307" s="8"/>
      <c r="E307" s="8"/>
      <c r="F307" s="8"/>
      <c r="G307" s="25" t="str">
        <f t="shared" si="62"/>
        <v/>
      </c>
      <c r="H307" s="8"/>
      <c r="I307" s="26" t="str">
        <f t="shared" si="63"/>
        <v/>
      </c>
      <c r="J307" s="8"/>
      <c r="K307" s="26" t="str">
        <f t="shared" si="64"/>
        <v/>
      </c>
      <c r="L307" s="8"/>
      <c r="M307" s="26" t="str">
        <f t="shared" si="65"/>
        <v/>
      </c>
      <c r="N307" s="8"/>
      <c r="O307" s="26" t="str">
        <f t="shared" si="66"/>
        <v/>
      </c>
      <c r="P307" s="23" t="str">
        <f t="shared" si="60"/>
        <v/>
      </c>
      <c r="Q307" s="23" t="str">
        <f t="shared" si="61"/>
        <v/>
      </c>
      <c r="R307" s="23" t="str">
        <f t="shared" si="67"/>
        <v/>
      </c>
      <c r="S307" s="23" t="str">
        <f t="shared" si="68"/>
        <v/>
      </c>
      <c r="T307" s="23" t="str">
        <f t="shared" si="69"/>
        <v/>
      </c>
      <c r="U307" s="10"/>
    </row>
    <row r="308" spans="3:21" x14ac:dyDescent="0.25">
      <c r="C308" s="8"/>
      <c r="D308" s="8"/>
      <c r="E308" s="8"/>
      <c r="F308" s="8"/>
      <c r="G308" s="25" t="str">
        <f t="shared" si="62"/>
        <v/>
      </c>
      <c r="H308" s="8"/>
      <c r="I308" s="26" t="str">
        <f t="shared" si="63"/>
        <v/>
      </c>
      <c r="J308" s="8"/>
      <c r="K308" s="26" t="str">
        <f t="shared" si="64"/>
        <v/>
      </c>
      <c r="L308" s="8"/>
      <c r="M308" s="26" t="str">
        <f t="shared" si="65"/>
        <v/>
      </c>
      <c r="N308" s="8"/>
      <c r="O308" s="26" t="str">
        <f t="shared" si="66"/>
        <v/>
      </c>
      <c r="P308" s="23" t="str">
        <f t="shared" si="60"/>
        <v/>
      </c>
      <c r="Q308" s="23" t="str">
        <f t="shared" si="61"/>
        <v/>
      </c>
      <c r="R308" s="23" t="str">
        <f t="shared" si="67"/>
        <v/>
      </c>
      <c r="S308" s="23" t="str">
        <f t="shared" si="68"/>
        <v/>
      </c>
      <c r="T308" s="23" t="str">
        <f t="shared" si="69"/>
        <v/>
      </c>
      <c r="U308" s="10"/>
    </row>
    <row r="309" spans="3:21" x14ac:dyDescent="0.25">
      <c r="C309" s="8"/>
      <c r="D309" s="8"/>
      <c r="E309" s="8"/>
      <c r="F309" s="8"/>
      <c r="G309" s="25" t="str">
        <f t="shared" si="62"/>
        <v/>
      </c>
      <c r="H309" s="8"/>
      <c r="I309" s="26" t="str">
        <f t="shared" si="63"/>
        <v/>
      </c>
      <c r="J309" s="8"/>
      <c r="K309" s="26" t="str">
        <f t="shared" si="64"/>
        <v/>
      </c>
      <c r="L309" s="8"/>
      <c r="M309" s="26" t="str">
        <f t="shared" si="65"/>
        <v/>
      </c>
      <c r="N309" s="8"/>
      <c r="O309" s="26" t="str">
        <f t="shared" si="66"/>
        <v/>
      </c>
      <c r="P309" s="23" t="str">
        <f t="shared" si="60"/>
        <v/>
      </c>
      <c r="Q309" s="23" t="str">
        <f t="shared" si="61"/>
        <v/>
      </c>
      <c r="R309" s="23" t="str">
        <f t="shared" si="67"/>
        <v/>
      </c>
      <c r="S309" s="23" t="str">
        <f t="shared" si="68"/>
        <v/>
      </c>
      <c r="T309" s="23" t="str">
        <f t="shared" si="69"/>
        <v/>
      </c>
      <c r="U309" s="10"/>
    </row>
    <row r="310" spans="3:21" x14ac:dyDescent="0.25">
      <c r="C310" s="8"/>
      <c r="D310" s="8"/>
      <c r="E310" s="8"/>
      <c r="F310" s="8"/>
      <c r="G310" s="25" t="str">
        <f t="shared" si="62"/>
        <v/>
      </c>
      <c r="H310" s="8"/>
      <c r="I310" s="26" t="str">
        <f t="shared" si="63"/>
        <v/>
      </c>
      <c r="J310" s="8"/>
      <c r="K310" s="26" t="str">
        <f t="shared" si="64"/>
        <v/>
      </c>
      <c r="L310" s="8"/>
      <c r="M310" s="26" t="str">
        <f t="shared" si="65"/>
        <v/>
      </c>
      <c r="N310" s="8"/>
      <c r="O310" s="26" t="str">
        <f t="shared" si="66"/>
        <v/>
      </c>
      <c r="P310" s="23" t="str">
        <f t="shared" si="60"/>
        <v/>
      </c>
      <c r="Q310" s="23" t="str">
        <f t="shared" si="61"/>
        <v/>
      </c>
      <c r="R310" s="23" t="str">
        <f t="shared" si="67"/>
        <v/>
      </c>
      <c r="S310" s="23" t="str">
        <f t="shared" si="68"/>
        <v/>
      </c>
      <c r="T310" s="23" t="str">
        <f t="shared" si="69"/>
        <v/>
      </c>
      <c r="U310" s="10"/>
    </row>
    <row r="311" spans="3:21" x14ac:dyDescent="0.25">
      <c r="C311" s="8"/>
      <c r="D311" s="8"/>
      <c r="E311" s="8"/>
      <c r="F311" s="8"/>
      <c r="G311" s="25" t="str">
        <f t="shared" si="62"/>
        <v/>
      </c>
      <c r="H311" s="8"/>
      <c r="I311" s="26" t="str">
        <f t="shared" si="63"/>
        <v/>
      </c>
      <c r="J311" s="8"/>
      <c r="K311" s="26" t="str">
        <f t="shared" si="64"/>
        <v/>
      </c>
      <c r="L311" s="8"/>
      <c r="M311" s="26" t="str">
        <f t="shared" si="65"/>
        <v/>
      </c>
      <c r="N311" s="8"/>
      <c r="O311" s="26" t="str">
        <f t="shared" si="66"/>
        <v/>
      </c>
      <c r="P311" s="23" t="str">
        <f t="shared" si="60"/>
        <v/>
      </c>
      <c r="Q311" s="23" t="str">
        <f t="shared" si="61"/>
        <v/>
      </c>
      <c r="R311" s="23" t="str">
        <f t="shared" si="67"/>
        <v/>
      </c>
      <c r="S311" s="23" t="str">
        <f t="shared" si="68"/>
        <v/>
      </c>
      <c r="T311" s="23" t="str">
        <f t="shared" si="69"/>
        <v/>
      </c>
      <c r="U311" s="10"/>
    </row>
    <row r="312" spans="3:21" x14ac:dyDescent="0.25">
      <c r="C312" s="8"/>
      <c r="D312" s="8"/>
      <c r="E312" s="8"/>
      <c r="F312" s="8"/>
      <c r="G312" s="25" t="str">
        <f t="shared" si="62"/>
        <v/>
      </c>
      <c r="H312" s="8"/>
      <c r="I312" s="26" t="str">
        <f t="shared" si="63"/>
        <v/>
      </c>
      <c r="J312" s="8"/>
      <c r="K312" s="26" t="str">
        <f t="shared" si="64"/>
        <v/>
      </c>
      <c r="L312" s="8"/>
      <c r="M312" s="26" t="str">
        <f t="shared" si="65"/>
        <v/>
      </c>
      <c r="N312" s="8"/>
      <c r="O312" s="26" t="str">
        <f t="shared" si="66"/>
        <v/>
      </c>
      <c r="P312" s="23" t="str">
        <f t="shared" si="60"/>
        <v/>
      </c>
      <c r="Q312" s="23" t="str">
        <f t="shared" si="61"/>
        <v/>
      </c>
      <c r="R312" s="23" t="str">
        <f t="shared" si="67"/>
        <v/>
      </c>
      <c r="S312" s="23" t="str">
        <f t="shared" si="68"/>
        <v/>
      </c>
      <c r="T312" s="23" t="str">
        <f t="shared" si="69"/>
        <v/>
      </c>
      <c r="U312" s="10"/>
    </row>
    <row r="313" spans="3:21" x14ac:dyDescent="0.25">
      <c r="C313" s="8"/>
      <c r="D313" s="8"/>
      <c r="E313" s="8"/>
      <c r="F313" s="8"/>
      <c r="G313" s="25" t="str">
        <f t="shared" si="62"/>
        <v/>
      </c>
      <c r="H313" s="8"/>
      <c r="I313" s="26" t="str">
        <f t="shared" si="63"/>
        <v/>
      </c>
      <c r="J313" s="8"/>
      <c r="K313" s="26" t="str">
        <f t="shared" si="64"/>
        <v/>
      </c>
      <c r="L313" s="8"/>
      <c r="M313" s="26" t="str">
        <f t="shared" si="65"/>
        <v/>
      </c>
      <c r="N313" s="8"/>
      <c r="O313" s="26" t="str">
        <f t="shared" si="66"/>
        <v/>
      </c>
      <c r="P313" s="23" t="str">
        <f t="shared" si="60"/>
        <v/>
      </c>
      <c r="Q313" s="23" t="str">
        <f t="shared" si="61"/>
        <v/>
      </c>
      <c r="R313" s="23" t="str">
        <f t="shared" si="67"/>
        <v/>
      </c>
      <c r="S313" s="23" t="str">
        <f t="shared" si="68"/>
        <v/>
      </c>
      <c r="T313" s="23" t="str">
        <f t="shared" si="69"/>
        <v/>
      </c>
      <c r="U313" s="10"/>
    </row>
    <row r="314" spans="3:21" x14ac:dyDescent="0.25">
      <c r="C314" s="8"/>
      <c r="D314" s="8"/>
      <c r="E314" s="8"/>
      <c r="F314" s="8"/>
      <c r="G314" s="25" t="str">
        <f t="shared" si="62"/>
        <v/>
      </c>
      <c r="H314" s="8"/>
      <c r="I314" s="26" t="str">
        <f t="shared" si="63"/>
        <v/>
      </c>
      <c r="J314" s="8"/>
      <c r="K314" s="26" t="str">
        <f t="shared" si="64"/>
        <v/>
      </c>
      <c r="L314" s="8"/>
      <c r="M314" s="26" t="str">
        <f t="shared" si="65"/>
        <v/>
      </c>
      <c r="N314" s="8"/>
      <c r="O314" s="26" t="str">
        <f t="shared" si="66"/>
        <v/>
      </c>
      <c r="P314" s="23" t="str">
        <f t="shared" si="60"/>
        <v/>
      </c>
      <c r="Q314" s="23" t="str">
        <f t="shared" si="61"/>
        <v/>
      </c>
      <c r="R314" s="23" t="str">
        <f t="shared" si="67"/>
        <v/>
      </c>
      <c r="S314" s="23" t="str">
        <f t="shared" si="68"/>
        <v/>
      </c>
      <c r="T314" s="23" t="str">
        <f t="shared" si="69"/>
        <v/>
      </c>
      <c r="U314" s="10"/>
    </row>
    <row r="315" spans="3:21" x14ac:dyDescent="0.25">
      <c r="C315" s="8"/>
      <c r="D315" s="8"/>
      <c r="E315" s="8"/>
      <c r="F315" s="8"/>
      <c r="G315" s="25" t="str">
        <f t="shared" si="62"/>
        <v/>
      </c>
      <c r="H315" s="8"/>
      <c r="I315" s="26" t="str">
        <f t="shared" si="63"/>
        <v/>
      </c>
      <c r="J315" s="8"/>
      <c r="K315" s="26" t="str">
        <f t="shared" si="64"/>
        <v/>
      </c>
      <c r="L315" s="8"/>
      <c r="M315" s="26" t="str">
        <f t="shared" si="65"/>
        <v/>
      </c>
      <c r="N315" s="8"/>
      <c r="O315" s="26" t="str">
        <f t="shared" si="66"/>
        <v/>
      </c>
      <c r="P315" s="23" t="str">
        <f t="shared" si="60"/>
        <v/>
      </c>
      <c r="Q315" s="23" t="str">
        <f t="shared" si="61"/>
        <v/>
      </c>
      <c r="R315" s="23" t="str">
        <f t="shared" si="67"/>
        <v/>
      </c>
      <c r="S315" s="23" t="str">
        <f t="shared" si="68"/>
        <v/>
      </c>
      <c r="T315" s="23" t="str">
        <f t="shared" si="69"/>
        <v/>
      </c>
      <c r="U315" s="10"/>
    </row>
    <row r="316" spans="3:21" x14ac:dyDescent="0.25">
      <c r="C316" s="8"/>
      <c r="D316" s="8"/>
      <c r="E316" s="8"/>
      <c r="F316" s="8"/>
      <c r="G316" s="25" t="str">
        <f t="shared" si="62"/>
        <v/>
      </c>
      <c r="H316" s="8"/>
      <c r="I316" s="26" t="str">
        <f t="shared" si="63"/>
        <v/>
      </c>
      <c r="J316" s="8"/>
      <c r="K316" s="26" t="str">
        <f t="shared" si="64"/>
        <v/>
      </c>
      <c r="L316" s="8"/>
      <c r="M316" s="26" t="str">
        <f t="shared" si="65"/>
        <v/>
      </c>
      <c r="N316" s="8"/>
      <c r="O316" s="26" t="str">
        <f t="shared" si="66"/>
        <v/>
      </c>
      <c r="P316" s="23" t="str">
        <f t="shared" si="60"/>
        <v/>
      </c>
      <c r="Q316" s="23" t="str">
        <f t="shared" si="61"/>
        <v/>
      </c>
      <c r="R316" s="23" t="str">
        <f t="shared" si="67"/>
        <v/>
      </c>
      <c r="S316" s="23" t="str">
        <f t="shared" si="68"/>
        <v/>
      </c>
      <c r="T316" s="23" t="str">
        <f t="shared" si="69"/>
        <v/>
      </c>
      <c r="U316" s="10"/>
    </row>
    <row r="317" spans="3:21" x14ac:dyDescent="0.25">
      <c r="C317" s="8"/>
      <c r="D317" s="8"/>
      <c r="E317" s="8"/>
      <c r="F317" s="8"/>
      <c r="G317" s="25" t="str">
        <f t="shared" si="62"/>
        <v/>
      </c>
      <c r="H317" s="8"/>
      <c r="I317" s="26" t="str">
        <f t="shared" si="63"/>
        <v/>
      </c>
      <c r="J317" s="8"/>
      <c r="K317" s="26" t="str">
        <f t="shared" si="64"/>
        <v/>
      </c>
      <c r="L317" s="8"/>
      <c r="M317" s="26" t="str">
        <f t="shared" si="65"/>
        <v/>
      </c>
      <c r="N317" s="8"/>
      <c r="O317" s="26" t="str">
        <f t="shared" si="66"/>
        <v/>
      </c>
      <c r="P317" s="23" t="str">
        <f t="shared" si="60"/>
        <v/>
      </c>
      <c r="Q317" s="23" t="str">
        <f t="shared" si="61"/>
        <v/>
      </c>
      <c r="R317" s="23" t="str">
        <f t="shared" si="67"/>
        <v/>
      </c>
      <c r="S317" s="23" t="str">
        <f t="shared" si="68"/>
        <v/>
      </c>
      <c r="T317" s="23" t="str">
        <f t="shared" si="69"/>
        <v/>
      </c>
      <c r="U317" s="10"/>
    </row>
    <row r="318" spans="3:21" x14ac:dyDescent="0.25">
      <c r="C318" s="8"/>
      <c r="D318" s="8"/>
      <c r="E318" s="8"/>
      <c r="F318" s="8"/>
      <c r="G318" s="25" t="str">
        <f t="shared" si="62"/>
        <v/>
      </c>
      <c r="H318" s="8"/>
      <c r="I318" s="26" t="str">
        <f t="shared" si="63"/>
        <v/>
      </c>
      <c r="J318" s="8"/>
      <c r="K318" s="26" t="str">
        <f t="shared" si="64"/>
        <v/>
      </c>
      <c r="L318" s="8"/>
      <c r="M318" s="26" t="str">
        <f t="shared" si="65"/>
        <v/>
      </c>
      <c r="N318" s="8"/>
      <c r="O318" s="26" t="str">
        <f t="shared" si="66"/>
        <v/>
      </c>
      <c r="P318" s="23" t="str">
        <f t="shared" si="60"/>
        <v/>
      </c>
      <c r="Q318" s="23" t="str">
        <f t="shared" si="61"/>
        <v/>
      </c>
      <c r="R318" s="23" t="str">
        <f t="shared" si="67"/>
        <v/>
      </c>
      <c r="S318" s="23" t="str">
        <f t="shared" si="68"/>
        <v/>
      </c>
      <c r="T318" s="23" t="str">
        <f t="shared" si="69"/>
        <v/>
      </c>
      <c r="U318" s="10"/>
    </row>
    <row r="319" spans="3:21" x14ac:dyDescent="0.25">
      <c r="C319" s="8"/>
      <c r="D319" s="8"/>
      <c r="E319" s="8"/>
      <c r="F319" s="8"/>
      <c r="G319" s="25" t="str">
        <f t="shared" si="62"/>
        <v/>
      </c>
      <c r="H319" s="8"/>
      <c r="I319" s="26" t="str">
        <f t="shared" si="63"/>
        <v/>
      </c>
      <c r="J319" s="8"/>
      <c r="K319" s="26" t="str">
        <f t="shared" si="64"/>
        <v/>
      </c>
      <c r="L319" s="8"/>
      <c r="M319" s="26" t="str">
        <f t="shared" si="65"/>
        <v/>
      </c>
      <c r="N319" s="8"/>
      <c r="O319" s="26" t="str">
        <f t="shared" si="66"/>
        <v/>
      </c>
      <c r="P319" s="23" t="str">
        <f t="shared" si="60"/>
        <v/>
      </c>
      <c r="Q319" s="23" t="str">
        <f t="shared" si="61"/>
        <v/>
      </c>
      <c r="R319" s="23" t="str">
        <f t="shared" si="67"/>
        <v/>
      </c>
      <c r="S319" s="23" t="str">
        <f t="shared" si="68"/>
        <v/>
      </c>
      <c r="T319" s="23" t="str">
        <f t="shared" si="69"/>
        <v/>
      </c>
      <c r="U319" s="10"/>
    </row>
    <row r="320" spans="3:21" x14ac:dyDescent="0.25">
      <c r="C320" s="8"/>
      <c r="D320" s="8"/>
      <c r="E320" s="8"/>
      <c r="F320" s="8"/>
      <c r="G320" s="25" t="str">
        <f t="shared" si="62"/>
        <v/>
      </c>
      <c r="H320" s="8"/>
      <c r="I320" s="26" t="str">
        <f t="shared" si="63"/>
        <v/>
      </c>
      <c r="J320" s="8"/>
      <c r="K320" s="26" t="str">
        <f t="shared" si="64"/>
        <v/>
      </c>
      <c r="L320" s="8"/>
      <c r="M320" s="26" t="str">
        <f t="shared" si="65"/>
        <v/>
      </c>
      <c r="N320" s="8"/>
      <c r="O320" s="26" t="str">
        <f t="shared" si="66"/>
        <v/>
      </c>
      <c r="P320" s="23" t="str">
        <f t="shared" si="60"/>
        <v/>
      </c>
      <c r="Q320" s="23" t="str">
        <f t="shared" si="61"/>
        <v/>
      </c>
      <c r="R320" s="23" t="str">
        <f t="shared" si="67"/>
        <v/>
      </c>
      <c r="S320" s="23" t="str">
        <f t="shared" si="68"/>
        <v/>
      </c>
      <c r="T320" s="23" t="str">
        <f t="shared" si="69"/>
        <v/>
      </c>
      <c r="U320" s="10"/>
    </row>
    <row r="321" spans="3:21" x14ac:dyDescent="0.25">
      <c r="C321" s="8"/>
      <c r="D321" s="8"/>
      <c r="E321" s="8"/>
      <c r="F321" s="8"/>
      <c r="G321" s="25" t="str">
        <f t="shared" si="62"/>
        <v/>
      </c>
      <c r="H321" s="8"/>
      <c r="I321" s="26" t="str">
        <f t="shared" si="63"/>
        <v/>
      </c>
      <c r="J321" s="8"/>
      <c r="K321" s="26" t="str">
        <f t="shared" si="64"/>
        <v/>
      </c>
      <c r="L321" s="8"/>
      <c r="M321" s="26" t="str">
        <f t="shared" si="65"/>
        <v/>
      </c>
      <c r="N321" s="8"/>
      <c r="O321" s="26" t="str">
        <f t="shared" si="66"/>
        <v/>
      </c>
      <c r="P321" s="23" t="str">
        <f t="shared" si="60"/>
        <v/>
      </c>
      <c r="Q321" s="23" t="str">
        <f t="shared" si="61"/>
        <v/>
      </c>
      <c r="R321" s="23" t="str">
        <f t="shared" si="67"/>
        <v/>
      </c>
      <c r="S321" s="23" t="str">
        <f t="shared" si="68"/>
        <v/>
      </c>
      <c r="T321" s="23" t="str">
        <f t="shared" si="69"/>
        <v/>
      </c>
      <c r="U321" s="10"/>
    </row>
    <row r="322" spans="3:21" x14ac:dyDescent="0.25">
      <c r="C322" s="8"/>
      <c r="D322" s="8"/>
      <c r="E322" s="8"/>
      <c r="F322" s="8"/>
      <c r="G322" s="25" t="str">
        <f t="shared" si="62"/>
        <v/>
      </c>
      <c r="H322" s="8"/>
      <c r="I322" s="26" t="str">
        <f t="shared" si="63"/>
        <v/>
      </c>
      <c r="J322" s="8"/>
      <c r="K322" s="26" t="str">
        <f t="shared" si="64"/>
        <v/>
      </c>
      <c r="L322" s="8"/>
      <c r="M322" s="26" t="str">
        <f t="shared" si="65"/>
        <v/>
      </c>
      <c r="N322" s="8"/>
      <c r="O322" s="26" t="str">
        <f t="shared" si="66"/>
        <v/>
      </c>
      <c r="P322" s="23" t="str">
        <f t="shared" si="60"/>
        <v/>
      </c>
      <c r="Q322" s="23" t="str">
        <f t="shared" si="61"/>
        <v/>
      </c>
      <c r="R322" s="23" t="str">
        <f t="shared" si="67"/>
        <v/>
      </c>
      <c r="S322" s="23" t="str">
        <f t="shared" si="68"/>
        <v/>
      </c>
      <c r="T322" s="23" t="str">
        <f t="shared" si="69"/>
        <v/>
      </c>
      <c r="U322" s="10"/>
    </row>
    <row r="323" spans="3:21" x14ac:dyDescent="0.25">
      <c r="C323" s="8"/>
      <c r="D323" s="8"/>
      <c r="E323" s="8"/>
      <c r="F323" s="8"/>
      <c r="G323" s="25" t="str">
        <f t="shared" si="62"/>
        <v/>
      </c>
      <c r="H323" s="8"/>
      <c r="I323" s="26" t="str">
        <f t="shared" si="63"/>
        <v/>
      </c>
      <c r="J323" s="8"/>
      <c r="K323" s="26" t="str">
        <f t="shared" si="64"/>
        <v/>
      </c>
      <c r="L323" s="8"/>
      <c r="M323" s="26" t="str">
        <f t="shared" si="65"/>
        <v/>
      </c>
      <c r="N323" s="8"/>
      <c r="O323" s="26" t="str">
        <f t="shared" si="66"/>
        <v/>
      </c>
      <c r="P323" s="23" t="str">
        <f t="shared" si="60"/>
        <v/>
      </c>
      <c r="Q323" s="23" t="str">
        <f t="shared" si="61"/>
        <v/>
      </c>
      <c r="R323" s="23" t="str">
        <f t="shared" si="67"/>
        <v/>
      </c>
      <c r="S323" s="23" t="str">
        <f t="shared" si="68"/>
        <v/>
      </c>
      <c r="T323" s="23" t="str">
        <f t="shared" si="69"/>
        <v/>
      </c>
      <c r="U323" s="10"/>
    </row>
    <row r="324" spans="3:21" x14ac:dyDescent="0.25">
      <c r="C324" s="8"/>
      <c r="D324" s="8"/>
      <c r="E324" s="8"/>
      <c r="F324" s="8"/>
      <c r="G324" s="25" t="str">
        <f t="shared" si="62"/>
        <v/>
      </c>
      <c r="H324" s="8"/>
      <c r="I324" s="26" t="str">
        <f t="shared" si="63"/>
        <v/>
      </c>
      <c r="J324" s="8"/>
      <c r="K324" s="26" t="str">
        <f t="shared" si="64"/>
        <v/>
      </c>
      <c r="L324" s="8"/>
      <c r="M324" s="26" t="str">
        <f t="shared" si="65"/>
        <v/>
      </c>
      <c r="N324" s="8"/>
      <c r="O324" s="26" t="str">
        <f t="shared" si="66"/>
        <v/>
      </c>
      <c r="P324" s="23" t="str">
        <f t="shared" ref="P324:P387" si="70">IF(COUNT(F324:O324)=0,"",SUM(F324:O324))</f>
        <v/>
      </c>
      <c r="Q324" s="23" t="str">
        <f t="shared" ref="Q324:Q387" si="71">IF(P324="","",P324/500*12)</f>
        <v/>
      </c>
      <c r="R324" s="23" t="str">
        <f t="shared" si="67"/>
        <v/>
      </c>
      <c r="S324" s="23" t="str">
        <f t="shared" si="68"/>
        <v/>
      </c>
      <c r="T324" s="23" t="str">
        <f t="shared" si="69"/>
        <v/>
      </c>
      <c r="U324" s="10"/>
    </row>
    <row r="325" spans="3:21" x14ac:dyDescent="0.25">
      <c r="C325" s="8"/>
      <c r="D325" s="8"/>
      <c r="E325" s="8"/>
      <c r="F325" s="8"/>
      <c r="G325" s="25" t="str">
        <f t="shared" si="62"/>
        <v/>
      </c>
      <c r="H325" s="8"/>
      <c r="I325" s="26" t="str">
        <f t="shared" si="63"/>
        <v/>
      </c>
      <c r="J325" s="8"/>
      <c r="K325" s="26" t="str">
        <f t="shared" si="64"/>
        <v/>
      </c>
      <c r="L325" s="8"/>
      <c r="M325" s="26" t="str">
        <f t="shared" si="65"/>
        <v/>
      </c>
      <c r="N325" s="8"/>
      <c r="O325" s="26" t="str">
        <f t="shared" si="66"/>
        <v/>
      </c>
      <c r="P325" s="23" t="str">
        <f t="shared" si="70"/>
        <v/>
      </c>
      <c r="Q325" s="23" t="str">
        <f t="shared" si="71"/>
        <v/>
      </c>
      <c r="R325" s="23" t="str">
        <f t="shared" si="67"/>
        <v/>
      </c>
      <c r="S325" s="23" t="str">
        <f t="shared" si="68"/>
        <v/>
      </c>
      <c r="T325" s="23" t="str">
        <f t="shared" si="69"/>
        <v/>
      </c>
      <c r="U325" s="10"/>
    </row>
    <row r="326" spans="3:21" x14ac:dyDescent="0.25">
      <c r="C326" s="8"/>
      <c r="D326" s="8"/>
      <c r="E326" s="8"/>
      <c r="F326" s="8"/>
      <c r="G326" s="25" t="str">
        <f t="shared" si="62"/>
        <v/>
      </c>
      <c r="H326" s="8"/>
      <c r="I326" s="26" t="str">
        <f t="shared" si="63"/>
        <v/>
      </c>
      <c r="J326" s="8"/>
      <c r="K326" s="26" t="str">
        <f t="shared" si="64"/>
        <v/>
      </c>
      <c r="L326" s="8"/>
      <c r="M326" s="26" t="str">
        <f t="shared" si="65"/>
        <v/>
      </c>
      <c r="N326" s="8"/>
      <c r="O326" s="26" t="str">
        <f t="shared" si="66"/>
        <v/>
      </c>
      <c r="P326" s="23" t="str">
        <f t="shared" si="70"/>
        <v/>
      </c>
      <c r="Q326" s="23" t="str">
        <f t="shared" si="71"/>
        <v/>
      </c>
      <c r="R326" s="23" t="str">
        <f t="shared" si="67"/>
        <v/>
      </c>
      <c r="S326" s="23" t="str">
        <f t="shared" si="68"/>
        <v/>
      </c>
      <c r="T326" s="23" t="str">
        <f t="shared" si="69"/>
        <v/>
      </c>
      <c r="U326" s="10"/>
    </row>
    <row r="327" spans="3:21" x14ac:dyDescent="0.25">
      <c r="C327" s="8"/>
      <c r="D327" s="8"/>
      <c r="E327" s="8"/>
      <c r="F327" s="8"/>
      <c r="G327" s="25" t="str">
        <f t="shared" si="62"/>
        <v/>
      </c>
      <c r="H327" s="8"/>
      <c r="I327" s="26" t="str">
        <f t="shared" si="63"/>
        <v/>
      </c>
      <c r="J327" s="8"/>
      <c r="K327" s="26" t="str">
        <f t="shared" si="64"/>
        <v/>
      </c>
      <c r="L327" s="8"/>
      <c r="M327" s="26" t="str">
        <f t="shared" si="65"/>
        <v/>
      </c>
      <c r="N327" s="8"/>
      <c r="O327" s="26" t="str">
        <f t="shared" si="66"/>
        <v/>
      </c>
      <c r="P327" s="23" t="str">
        <f t="shared" si="70"/>
        <v/>
      </c>
      <c r="Q327" s="23" t="str">
        <f t="shared" si="71"/>
        <v/>
      </c>
      <c r="R327" s="23" t="str">
        <f t="shared" si="67"/>
        <v/>
      </c>
      <c r="S327" s="23" t="str">
        <f t="shared" si="68"/>
        <v/>
      </c>
      <c r="T327" s="23" t="str">
        <f t="shared" si="69"/>
        <v/>
      </c>
      <c r="U327" s="10"/>
    </row>
    <row r="328" spans="3:21" x14ac:dyDescent="0.25">
      <c r="C328" s="8"/>
      <c r="D328" s="8"/>
      <c r="E328" s="8"/>
      <c r="F328" s="8"/>
      <c r="G328" s="25" t="str">
        <f t="shared" si="62"/>
        <v/>
      </c>
      <c r="H328" s="8"/>
      <c r="I328" s="26" t="str">
        <f t="shared" si="63"/>
        <v/>
      </c>
      <c r="J328" s="8"/>
      <c r="K328" s="26" t="str">
        <f t="shared" si="64"/>
        <v/>
      </c>
      <c r="L328" s="8"/>
      <c r="M328" s="26" t="str">
        <f t="shared" si="65"/>
        <v/>
      </c>
      <c r="N328" s="8"/>
      <c r="O328" s="26" t="str">
        <f t="shared" si="66"/>
        <v/>
      </c>
      <c r="P328" s="23" t="str">
        <f t="shared" si="70"/>
        <v/>
      </c>
      <c r="Q328" s="23" t="str">
        <f t="shared" si="71"/>
        <v/>
      </c>
      <c r="R328" s="23" t="str">
        <f t="shared" si="67"/>
        <v/>
      </c>
      <c r="S328" s="23" t="str">
        <f t="shared" si="68"/>
        <v/>
      </c>
      <c r="T328" s="23" t="str">
        <f t="shared" si="69"/>
        <v/>
      </c>
      <c r="U328" s="10"/>
    </row>
    <row r="329" spans="3:21" x14ac:dyDescent="0.25">
      <c r="C329" s="8"/>
      <c r="D329" s="8"/>
      <c r="E329" s="8"/>
      <c r="F329" s="8"/>
      <c r="G329" s="25" t="str">
        <f t="shared" si="62"/>
        <v/>
      </c>
      <c r="H329" s="8"/>
      <c r="I329" s="26" t="str">
        <f t="shared" si="63"/>
        <v/>
      </c>
      <c r="J329" s="8"/>
      <c r="K329" s="26" t="str">
        <f t="shared" si="64"/>
        <v/>
      </c>
      <c r="L329" s="8"/>
      <c r="M329" s="26" t="str">
        <f t="shared" si="65"/>
        <v/>
      </c>
      <c r="N329" s="8"/>
      <c r="O329" s="26" t="str">
        <f t="shared" si="66"/>
        <v/>
      </c>
      <c r="P329" s="23" t="str">
        <f t="shared" si="70"/>
        <v/>
      </c>
      <c r="Q329" s="23" t="str">
        <f t="shared" si="71"/>
        <v/>
      </c>
      <c r="R329" s="23" t="str">
        <f t="shared" si="67"/>
        <v/>
      </c>
      <c r="S329" s="23" t="str">
        <f t="shared" si="68"/>
        <v/>
      </c>
      <c r="T329" s="23" t="str">
        <f t="shared" si="69"/>
        <v/>
      </c>
      <c r="U329" s="10"/>
    </row>
    <row r="330" spans="3:21" x14ac:dyDescent="0.25">
      <c r="C330" s="8"/>
      <c r="D330" s="8"/>
      <c r="E330" s="8"/>
      <c r="F330" s="8"/>
      <c r="G330" s="25" t="str">
        <f t="shared" si="62"/>
        <v/>
      </c>
      <c r="H330" s="8"/>
      <c r="I330" s="26" t="str">
        <f t="shared" si="63"/>
        <v/>
      </c>
      <c r="J330" s="8"/>
      <c r="K330" s="26" t="str">
        <f t="shared" si="64"/>
        <v/>
      </c>
      <c r="L330" s="8"/>
      <c r="M330" s="26" t="str">
        <f t="shared" si="65"/>
        <v/>
      </c>
      <c r="N330" s="8"/>
      <c r="O330" s="26" t="str">
        <f t="shared" si="66"/>
        <v/>
      </c>
      <c r="P330" s="23" t="str">
        <f t="shared" si="70"/>
        <v/>
      </c>
      <c r="Q330" s="23" t="str">
        <f t="shared" si="71"/>
        <v/>
      </c>
      <c r="R330" s="23" t="str">
        <f t="shared" si="67"/>
        <v/>
      </c>
      <c r="S330" s="23" t="str">
        <f t="shared" si="68"/>
        <v/>
      </c>
      <c r="T330" s="23" t="str">
        <f t="shared" si="69"/>
        <v/>
      </c>
      <c r="U330" s="10"/>
    </row>
    <row r="331" spans="3:21" x14ac:dyDescent="0.25">
      <c r="C331" s="8"/>
      <c r="D331" s="8"/>
      <c r="E331" s="8"/>
      <c r="F331" s="8"/>
      <c r="G331" s="25" t="str">
        <f t="shared" si="62"/>
        <v/>
      </c>
      <c r="H331" s="8"/>
      <c r="I331" s="26" t="str">
        <f t="shared" si="63"/>
        <v/>
      </c>
      <c r="J331" s="8"/>
      <c r="K331" s="26" t="str">
        <f t="shared" si="64"/>
        <v/>
      </c>
      <c r="L331" s="8"/>
      <c r="M331" s="26" t="str">
        <f t="shared" si="65"/>
        <v/>
      </c>
      <c r="N331" s="8"/>
      <c r="O331" s="26" t="str">
        <f t="shared" si="66"/>
        <v/>
      </c>
      <c r="P331" s="23" t="str">
        <f t="shared" si="70"/>
        <v/>
      </c>
      <c r="Q331" s="23" t="str">
        <f t="shared" si="71"/>
        <v/>
      </c>
      <c r="R331" s="23" t="str">
        <f t="shared" si="67"/>
        <v/>
      </c>
      <c r="S331" s="23" t="str">
        <f t="shared" si="68"/>
        <v/>
      </c>
      <c r="T331" s="23" t="str">
        <f t="shared" si="69"/>
        <v/>
      </c>
      <c r="U331" s="10"/>
    </row>
    <row r="332" spans="3:21" x14ac:dyDescent="0.25">
      <c r="C332" s="8"/>
      <c r="D332" s="8"/>
      <c r="E332" s="8"/>
      <c r="F332" s="8"/>
      <c r="G332" s="25" t="str">
        <f t="shared" si="62"/>
        <v/>
      </c>
      <c r="H332" s="8"/>
      <c r="I332" s="26" t="str">
        <f t="shared" si="63"/>
        <v/>
      </c>
      <c r="J332" s="8"/>
      <c r="K332" s="26" t="str">
        <f t="shared" si="64"/>
        <v/>
      </c>
      <c r="L332" s="8"/>
      <c r="M332" s="26" t="str">
        <f t="shared" si="65"/>
        <v/>
      </c>
      <c r="N332" s="8"/>
      <c r="O332" s="26" t="str">
        <f t="shared" si="66"/>
        <v/>
      </c>
      <c r="P332" s="23" t="str">
        <f t="shared" si="70"/>
        <v/>
      </c>
      <c r="Q332" s="23" t="str">
        <f t="shared" si="71"/>
        <v/>
      </c>
      <c r="R332" s="23" t="str">
        <f t="shared" si="67"/>
        <v/>
      </c>
      <c r="S332" s="23" t="str">
        <f t="shared" si="68"/>
        <v/>
      </c>
      <c r="T332" s="23" t="str">
        <f t="shared" si="69"/>
        <v/>
      </c>
      <c r="U332" s="10"/>
    </row>
    <row r="333" spans="3:21" x14ac:dyDescent="0.25">
      <c r="C333" s="8"/>
      <c r="D333" s="8"/>
      <c r="E333" s="8"/>
      <c r="F333" s="8"/>
      <c r="G333" s="25" t="str">
        <f t="shared" si="62"/>
        <v/>
      </c>
      <c r="H333" s="8"/>
      <c r="I333" s="26" t="str">
        <f t="shared" si="63"/>
        <v/>
      </c>
      <c r="J333" s="8"/>
      <c r="K333" s="26" t="str">
        <f t="shared" si="64"/>
        <v/>
      </c>
      <c r="L333" s="8"/>
      <c r="M333" s="26" t="str">
        <f t="shared" si="65"/>
        <v/>
      </c>
      <c r="N333" s="8"/>
      <c r="O333" s="26" t="str">
        <f t="shared" si="66"/>
        <v/>
      </c>
      <c r="P333" s="23" t="str">
        <f t="shared" si="70"/>
        <v/>
      </c>
      <c r="Q333" s="23" t="str">
        <f t="shared" si="71"/>
        <v/>
      </c>
      <c r="R333" s="23" t="str">
        <f t="shared" si="67"/>
        <v/>
      </c>
      <c r="S333" s="23" t="str">
        <f t="shared" si="68"/>
        <v/>
      </c>
      <c r="T333" s="23" t="str">
        <f t="shared" si="69"/>
        <v/>
      </c>
      <c r="U333" s="10"/>
    </row>
    <row r="334" spans="3:21" x14ac:dyDescent="0.25">
      <c r="C334" s="8"/>
      <c r="D334" s="8"/>
      <c r="E334" s="8"/>
      <c r="F334" s="8"/>
      <c r="G334" s="25" t="str">
        <f t="shared" si="62"/>
        <v/>
      </c>
      <c r="H334" s="8"/>
      <c r="I334" s="26" t="str">
        <f t="shared" si="63"/>
        <v/>
      </c>
      <c r="J334" s="8"/>
      <c r="K334" s="26" t="str">
        <f t="shared" si="64"/>
        <v/>
      </c>
      <c r="L334" s="8"/>
      <c r="M334" s="26" t="str">
        <f t="shared" si="65"/>
        <v/>
      </c>
      <c r="N334" s="8"/>
      <c r="O334" s="26" t="str">
        <f t="shared" si="66"/>
        <v/>
      </c>
      <c r="P334" s="23" t="str">
        <f t="shared" si="70"/>
        <v/>
      </c>
      <c r="Q334" s="23" t="str">
        <f t="shared" si="71"/>
        <v/>
      </c>
      <c r="R334" s="23" t="str">
        <f t="shared" si="67"/>
        <v/>
      </c>
      <c r="S334" s="23" t="str">
        <f t="shared" si="68"/>
        <v/>
      </c>
      <c r="T334" s="23" t="str">
        <f t="shared" si="69"/>
        <v/>
      </c>
      <c r="U334" s="10"/>
    </row>
    <row r="335" spans="3:21" x14ac:dyDescent="0.25">
      <c r="C335" s="8"/>
      <c r="D335" s="8"/>
      <c r="E335" s="8"/>
      <c r="F335" s="8"/>
      <c r="G335" s="25" t="str">
        <f t="shared" si="62"/>
        <v/>
      </c>
      <c r="H335" s="8"/>
      <c r="I335" s="26" t="str">
        <f t="shared" si="63"/>
        <v/>
      </c>
      <c r="J335" s="8"/>
      <c r="K335" s="26" t="str">
        <f t="shared" si="64"/>
        <v/>
      </c>
      <c r="L335" s="8"/>
      <c r="M335" s="26" t="str">
        <f t="shared" si="65"/>
        <v/>
      </c>
      <c r="N335" s="8"/>
      <c r="O335" s="26" t="str">
        <f t="shared" si="66"/>
        <v/>
      </c>
      <c r="P335" s="23" t="str">
        <f t="shared" si="70"/>
        <v/>
      </c>
      <c r="Q335" s="23" t="str">
        <f t="shared" si="71"/>
        <v/>
      </c>
      <c r="R335" s="23" t="str">
        <f t="shared" si="67"/>
        <v/>
      </c>
      <c r="S335" s="23" t="str">
        <f t="shared" si="68"/>
        <v/>
      </c>
      <c r="T335" s="23" t="str">
        <f t="shared" si="69"/>
        <v/>
      </c>
      <c r="U335" s="10"/>
    </row>
    <row r="336" spans="3:21" x14ac:dyDescent="0.25">
      <c r="C336" s="8"/>
      <c r="D336" s="8"/>
      <c r="E336" s="8"/>
      <c r="F336" s="8"/>
      <c r="G336" s="25" t="str">
        <f t="shared" si="62"/>
        <v/>
      </c>
      <c r="H336" s="8"/>
      <c r="I336" s="26" t="str">
        <f t="shared" si="63"/>
        <v/>
      </c>
      <c r="J336" s="8"/>
      <c r="K336" s="26" t="str">
        <f t="shared" si="64"/>
        <v/>
      </c>
      <c r="L336" s="8"/>
      <c r="M336" s="26" t="str">
        <f t="shared" si="65"/>
        <v/>
      </c>
      <c r="N336" s="8"/>
      <c r="O336" s="26" t="str">
        <f t="shared" si="66"/>
        <v/>
      </c>
      <c r="P336" s="23" t="str">
        <f t="shared" si="70"/>
        <v/>
      </c>
      <c r="Q336" s="23" t="str">
        <f t="shared" si="71"/>
        <v/>
      </c>
      <c r="R336" s="23" t="str">
        <f t="shared" si="67"/>
        <v/>
      </c>
      <c r="S336" s="23" t="str">
        <f t="shared" si="68"/>
        <v/>
      </c>
      <c r="T336" s="23" t="str">
        <f t="shared" si="69"/>
        <v/>
      </c>
      <c r="U336" s="10"/>
    </row>
    <row r="337" spans="3:21" x14ac:dyDescent="0.25">
      <c r="C337" s="8"/>
      <c r="D337" s="8"/>
      <c r="E337" s="8"/>
      <c r="F337" s="8"/>
      <c r="G337" s="25" t="str">
        <f t="shared" si="62"/>
        <v/>
      </c>
      <c r="H337" s="8"/>
      <c r="I337" s="26" t="str">
        <f t="shared" si="63"/>
        <v/>
      </c>
      <c r="J337" s="8"/>
      <c r="K337" s="26" t="str">
        <f t="shared" si="64"/>
        <v/>
      </c>
      <c r="L337" s="8"/>
      <c r="M337" s="26" t="str">
        <f t="shared" si="65"/>
        <v/>
      </c>
      <c r="N337" s="8"/>
      <c r="O337" s="26" t="str">
        <f t="shared" si="66"/>
        <v/>
      </c>
      <c r="P337" s="23" t="str">
        <f t="shared" si="70"/>
        <v/>
      </c>
      <c r="Q337" s="23" t="str">
        <f t="shared" si="71"/>
        <v/>
      </c>
      <c r="R337" s="23" t="str">
        <f t="shared" si="67"/>
        <v/>
      </c>
      <c r="S337" s="23" t="str">
        <f t="shared" si="68"/>
        <v/>
      </c>
      <c r="T337" s="23" t="str">
        <f t="shared" si="69"/>
        <v/>
      </c>
      <c r="U337" s="10"/>
    </row>
    <row r="338" spans="3:21" x14ac:dyDescent="0.25">
      <c r="C338" s="8"/>
      <c r="D338" s="8"/>
      <c r="E338" s="8"/>
      <c r="F338" s="8"/>
      <c r="G338" s="25" t="str">
        <f t="shared" si="62"/>
        <v/>
      </c>
      <c r="H338" s="8"/>
      <c r="I338" s="26" t="str">
        <f t="shared" si="63"/>
        <v/>
      </c>
      <c r="J338" s="8"/>
      <c r="K338" s="26" t="str">
        <f t="shared" si="64"/>
        <v/>
      </c>
      <c r="L338" s="8"/>
      <c r="M338" s="26" t="str">
        <f t="shared" si="65"/>
        <v/>
      </c>
      <c r="N338" s="8"/>
      <c r="O338" s="26" t="str">
        <f t="shared" si="66"/>
        <v/>
      </c>
      <c r="P338" s="23" t="str">
        <f t="shared" si="70"/>
        <v/>
      </c>
      <c r="Q338" s="23" t="str">
        <f t="shared" si="71"/>
        <v/>
      </c>
      <c r="R338" s="23" t="str">
        <f t="shared" si="67"/>
        <v/>
      </c>
      <c r="S338" s="23" t="str">
        <f t="shared" si="68"/>
        <v/>
      </c>
      <c r="T338" s="23" t="str">
        <f t="shared" si="69"/>
        <v/>
      </c>
      <c r="U338" s="10"/>
    </row>
    <row r="339" spans="3:21" x14ac:dyDescent="0.25">
      <c r="C339" s="8"/>
      <c r="D339" s="8"/>
      <c r="E339" s="8"/>
      <c r="F339" s="8"/>
      <c r="G339" s="25" t="str">
        <f t="shared" si="62"/>
        <v/>
      </c>
      <c r="H339" s="8"/>
      <c r="I339" s="26" t="str">
        <f t="shared" si="63"/>
        <v/>
      </c>
      <c r="J339" s="8"/>
      <c r="K339" s="26" t="str">
        <f t="shared" si="64"/>
        <v/>
      </c>
      <c r="L339" s="8"/>
      <c r="M339" s="26" t="str">
        <f t="shared" si="65"/>
        <v/>
      </c>
      <c r="N339" s="8"/>
      <c r="O339" s="26" t="str">
        <f t="shared" si="66"/>
        <v/>
      </c>
      <c r="P339" s="23" t="str">
        <f t="shared" si="70"/>
        <v/>
      </c>
      <c r="Q339" s="23" t="str">
        <f t="shared" si="71"/>
        <v/>
      </c>
      <c r="R339" s="23" t="str">
        <f t="shared" si="67"/>
        <v/>
      </c>
      <c r="S339" s="23" t="str">
        <f t="shared" si="68"/>
        <v/>
      </c>
      <c r="T339" s="23" t="str">
        <f t="shared" si="69"/>
        <v/>
      </c>
      <c r="U339" s="10"/>
    </row>
    <row r="340" spans="3:21" x14ac:dyDescent="0.25">
      <c r="C340" s="8"/>
      <c r="D340" s="8"/>
      <c r="E340" s="8"/>
      <c r="F340" s="8"/>
      <c r="G340" s="25" t="str">
        <f t="shared" si="62"/>
        <v/>
      </c>
      <c r="H340" s="8"/>
      <c r="I340" s="26" t="str">
        <f t="shared" si="63"/>
        <v/>
      </c>
      <c r="J340" s="8"/>
      <c r="K340" s="26" t="str">
        <f t="shared" si="64"/>
        <v/>
      </c>
      <c r="L340" s="8"/>
      <c r="M340" s="26" t="str">
        <f t="shared" si="65"/>
        <v/>
      </c>
      <c r="N340" s="8"/>
      <c r="O340" s="26" t="str">
        <f t="shared" si="66"/>
        <v/>
      </c>
      <c r="P340" s="23" t="str">
        <f t="shared" si="70"/>
        <v/>
      </c>
      <c r="Q340" s="23" t="str">
        <f t="shared" si="71"/>
        <v/>
      </c>
      <c r="R340" s="23" t="str">
        <f t="shared" si="67"/>
        <v/>
      </c>
      <c r="S340" s="23" t="str">
        <f t="shared" si="68"/>
        <v/>
      </c>
      <c r="T340" s="23" t="str">
        <f t="shared" si="69"/>
        <v/>
      </c>
      <c r="U340" s="10"/>
    </row>
    <row r="341" spans="3:21" x14ac:dyDescent="0.25">
      <c r="C341" s="8"/>
      <c r="D341" s="8"/>
      <c r="E341" s="8"/>
      <c r="F341" s="8"/>
      <c r="G341" s="25" t="str">
        <f t="shared" si="62"/>
        <v/>
      </c>
      <c r="H341" s="8"/>
      <c r="I341" s="26" t="str">
        <f t="shared" si="63"/>
        <v/>
      </c>
      <c r="J341" s="8"/>
      <c r="K341" s="26" t="str">
        <f t="shared" si="64"/>
        <v/>
      </c>
      <c r="L341" s="8"/>
      <c r="M341" s="26" t="str">
        <f t="shared" si="65"/>
        <v/>
      </c>
      <c r="N341" s="8"/>
      <c r="O341" s="26" t="str">
        <f t="shared" si="66"/>
        <v/>
      </c>
      <c r="P341" s="23" t="str">
        <f t="shared" si="70"/>
        <v/>
      </c>
      <c r="Q341" s="23" t="str">
        <f t="shared" si="71"/>
        <v/>
      </c>
      <c r="R341" s="23" t="str">
        <f t="shared" si="67"/>
        <v/>
      </c>
      <c r="S341" s="23" t="str">
        <f t="shared" si="68"/>
        <v/>
      </c>
      <c r="T341" s="23" t="str">
        <f t="shared" si="69"/>
        <v/>
      </c>
      <c r="U341" s="10"/>
    </row>
    <row r="342" spans="3:21" x14ac:dyDescent="0.25">
      <c r="C342" s="8"/>
      <c r="D342" s="8"/>
      <c r="E342" s="8"/>
      <c r="F342" s="8"/>
      <c r="G342" s="25" t="str">
        <f t="shared" si="62"/>
        <v/>
      </c>
      <c r="H342" s="8"/>
      <c r="I342" s="26" t="str">
        <f t="shared" si="63"/>
        <v/>
      </c>
      <c r="J342" s="8"/>
      <c r="K342" s="26" t="str">
        <f t="shared" si="64"/>
        <v/>
      </c>
      <c r="L342" s="8"/>
      <c r="M342" s="26" t="str">
        <f t="shared" si="65"/>
        <v/>
      </c>
      <c r="N342" s="8"/>
      <c r="O342" s="26" t="str">
        <f t="shared" si="66"/>
        <v/>
      </c>
      <c r="P342" s="23" t="str">
        <f t="shared" si="70"/>
        <v/>
      </c>
      <c r="Q342" s="23" t="str">
        <f t="shared" si="71"/>
        <v/>
      </c>
      <c r="R342" s="23" t="str">
        <f t="shared" si="67"/>
        <v/>
      </c>
      <c r="S342" s="23" t="str">
        <f t="shared" si="68"/>
        <v/>
      </c>
      <c r="T342" s="23" t="str">
        <f t="shared" si="69"/>
        <v/>
      </c>
      <c r="U342" s="10"/>
    </row>
    <row r="343" spans="3:21" x14ac:dyDescent="0.25">
      <c r="C343" s="8"/>
      <c r="D343" s="8"/>
      <c r="E343" s="8"/>
      <c r="F343" s="8"/>
      <c r="G343" s="25" t="str">
        <f t="shared" si="62"/>
        <v/>
      </c>
      <c r="H343" s="8"/>
      <c r="I343" s="26" t="str">
        <f t="shared" si="63"/>
        <v/>
      </c>
      <c r="J343" s="8"/>
      <c r="K343" s="26" t="str">
        <f t="shared" si="64"/>
        <v/>
      </c>
      <c r="L343" s="8"/>
      <c r="M343" s="26" t="str">
        <f t="shared" si="65"/>
        <v/>
      </c>
      <c r="N343" s="8"/>
      <c r="O343" s="26" t="str">
        <f t="shared" si="66"/>
        <v/>
      </c>
      <c r="P343" s="23" t="str">
        <f t="shared" si="70"/>
        <v/>
      </c>
      <c r="Q343" s="23" t="str">
        <f t="shared" si="71"/>
        <v/>
      </c>
      <c r="R343" s="23" t="str">
        <f t="shared" si="67"/>
        <v/>
      </c>
      <c r="S343" s="23" t="str">
        <f t="shared" si="68"/>
        <v/>
      </c>
      <c r="T343" s="23" t="str">
        <f t="shared" si="69"/>
        <v/>
      </c>
      <c r="U343" s="10"/>
    </row>
    <row r="344" spans="3:21" x14ac:dyDescent="0.25">
      <c r="C344" s="8"/>
      <c r="D344" s="8"/>
      <c r="E344" s="8"/>
      <c r="F344" s="8"/>
      <c r="G344" s="25" t="str">
        <f t="shared" si="62"/>
        <v/>
      </c>
      <c r="H344" s="8"/>
      <c r="I344" s="26" t="str">
        <f t="shared" si="63"/>
        <v/>
      </c>
      <c r="J344" s="8"/>
      <c r="K344" s="26" t="str">
        <f t="shared" si="64"/>
        <v/>
      </c>
      <c r="L344" s="8"/>
      <c r="M344" s="26" t="str">
        <f t="shared" si="65"/>
        <v/>
      </c>
      <c r="N344" s="8"/>
      <c r="O344" s="26" t="str">
        <f t="shared" si="66"/>
        <v/>
      </c>
      <c r="P344" s="23" t="str">
        <f t="shared" si="70"/>
        <v/>
      </c>
      <c r="Q344" s="23" t="str">
        <f t="shared" si="71"/>
        <v/>
      </c>
      <c r="R344" s="23" t="str">
        <f t="shared" si="67"/>
        <v/>
      </c>
      <c r="S344" s="23" t="str">
        <f t="shared" si="68"/>
        <v/>
      </c>
      <c r="T344" s="23" t="str">
        <f t="shared" si="69"/>
        <v/>
      </c>
      <c r="U344" s="10"/>
    </row>
    <row r="345" spans="3:21" x14ac:dyDescent="0.25">
      <c r="C345" s="8"/>
      <c r="D345" s="8"/>
      <c r="E345" s="8"/>
      <c r="F345" s="8"/>
      <c r="G345" s="25" t="str">
        <f t="shared" si="62"/>
        <v/>
      </c>
      <c r="H345" s="8"/>
      <c r="I345" s="26" t="str">
        <f t="shared" si="63"/>
        <v/>
      </c>
      <c r="J345" s="8"/>
      <c r="K345" s="26" t="str">
        <f t="shared" si="64"/>
        <v/>
      </c>
      <c r="L345" s="8"/>
      <c r="M345" s="26" t="str">
        <f t="shared" si="65"/>
        <v/>
      </c>
      <c r="N345" s="8"/>
      <c r="O345" s="26" t="str">
        <f t="shared" si="66"/>
        <v/>
      </c>
      <c r="P345" s="23" t="str">
        <f t="shared" si="70"/>
        <v/>
      </c>
      <c r="Q345" s="23" t="str">
        <f t="shared" si="71"/>
        <v/>
      </c>
      <c r="R345" s="23" t="str">
        <f t="shared" si="67"/>
        <v/>
      </c>
      <c r="S345" s="23" t="str">
        <f t="shared" si="68"/>
        <v/>
      </c>
      <c r="T345" s="23" t="str">
        <f t="shared" si="69"/>
        <v/>
      </c>
      <c r="U345" s="10"/>
    </row>
    <row r="346" spans="3:21" x14ac:dyDescent="0.25">
      <c r="C346" s="8"/>
      <c r="D346" s="8"/>
      <c r="E346" s="8"/>
      <c r="F346" s="8"/>
      <c r="G346" s="25" t="str">
        <f t="shared" si="62"/>
        <v/>
      </c>
      <c r="H346" s="8"/>
      <c r="I346" s="26" t="str">
        <f t="shared" si="63"/>
        <v/>
      </c>
      <c r="J346" s="8"/>
      <c r="K346" s="26" t="str">
        <f t="shared" si="64"/>
        <v/>
      </c>
      <c r="L346" s="8"/>
      <c r="M346" s="26" t="str">
        <f t="shared" si="65"/>
        <v/>
      </c>
      <c r="N346" s="8"/>
      <c r="O346" s="26" t="str">
        <f t="shared" si="66"/>
        <v/>
      </c>
      <c r="P346" s="23" t="str">
        <f t="shared" si="70"/>
        <v/>
      </c>
      <c r="Q346" s="23" t="str">
        <f t="shared" si="71"/>
        <v/>
      </c>
      <c r="R346" s="23" t="str">
        <f t="shared" si="67"/>
        <v/>
      </c>
      <c r="S346" s="23" t="str">
        <f t="shared" si="68"/>
        <v/>
      </c>
      <c r="T346" s="23" t="str">
        <f t="shared" si="69"/>
        <v/>
      </c>
      <c r="U346" s="10"/>
    </row>
    <row r="347" spans="3:21" x14ac:dyDescent="0.25">
      <c r="C347" s="8"/>
      <c r="D347" s="8"/>
      <c r="E347" s="8"/>
      <c r="F347" s="8"/>
      <c r="G347" s="25" t="str">
        <f t="shared" si="62"/>
        <v/>
      </c>
      <c r="H347" s="8"/>
      <c r="I347" s="26" t="str">
        <f t="shared" si="63"/>
        <v/>
      </c>
      <c r="J347" s="8"/>
      <c r="K347" s="26" t="str">
        <f t="shared" si="64"/>
        <v/>
      </c>
      <c r="L347" s="8"/>
      <c r="M347" s="26" t="str">
        <f t="shared" si="65"/>
        <v/>
      </c>
      <c r="N347" s="8"/>
      <c r="O347" s="26" t="str">
        <f t="shared" si="66"/>
        <v/>
      </c>
      <c r="P347" s="23" t="str">
        <f t="shared" si="70"/>
        <v/>
      </c>
      <c r="Q347" s="23" t="str">
        <f t="shared" si="71"/>
        <v/>
      </c>
      <c r="R347" s="23" t="str">
        <f t="shared" si="67"/>
        <v/>
      </c>
      <c r="S347" s="23" t="str">
        <f t="shared" si="68"/>
        <v/>
      </c>
      <c r="T347" s="23" t="str">
        <f t="shared" si="69"/>
        <v/>
      </c>
      <c r="U347" s="10"/>
    </row>
    <row r="348" spans="3:21" x14ac:dyDescent="0.25">
      <c r="C348" s="8"/>
      <c r="D348" s="8"/>
      <c r="E348" s="8"/>
      <c r="F348" s="8"/>
      <c r="G348" s="25" t="str">
        <f t="shared" si="62"/>
        <v/>
      </c>
      <c r="H348" s="8"/>
      <c r="I348" s="26" t="str">
        <f t="shared" si="63"/>
        <v/>
      </c>
      <c r="J348" s="8"/>
      <c r="K348" s="26" t="str">
        <f t="shared" si="64"/>
        <v/>
      </c>
      <c r="L348" s="8"/>
      <c r="M348" s="26" t="str">
        <f t="shared" si="65"/>
        <v/>
      </c>
      <c r="N348" s="8"/>
      <c r="O348" s="26" t="str">
        <f t="shared" si="66"/>
        <v/>
      </c>
      <c r="P348" s="23" t="str">
        <f t="shared" si="70"/>
        <v/>
      </c>
      <c r="Q348" s="23" t="str">
        <f t="shared" si="71"/>
        <v/>
      </c>
      <c r="R348" s="23" t="str">
        <f t="shared" si="67"/>
        <v/>
      </c>
      <c r="S348" s="23" t="str">
        <f t="shared" si="68"/>
        <v/>
      </c>
      <c r="T348" s="23" t="str">
        <f t="shared" si="69"/>
        <v/>
      </c>
      <c r="U348" s="10"/>
    </row>
    <row r="349" spans="3:21" x14ac:dyDescent="0.25">
      <c r="C349" s="8"/>
      <c r="D349" s="8"/>
      <c r="E349" s="8"/>
      <c r="F349" s="8"/>
      <c r="G349" s="25" t="str">
        <f t="shared" si="62"/>
        <v/>
      </c>
      <c r="H349" s="8"/>
      <c r="I349" s="26" t="str">
        <f t="shared" si="63"/>
        <v/>
      </c>
      <c r="J349" s="8"/>
      <c r="K349" s="26" t="str">
        <f t="shared" si="64"/>
        <v/>
      </c>
      <c r="L349" s="8"/>
      <c r="M349" s="26" t="str">
        <f t="shared" si="65"/>
        <v/>
      </c>
      <c r="N349" s="8"/>
      <c r="O349" s="26" t="str">
        <f t="shared" si="66"/>
        <v/>
      </c>
      <c r="P349" s="23" t="str">
        <f t="shared" si="70"/>
        <v/>
      </c>
      <c r="Q349" s="23" t="str">
        <f t="shared" si="71"/>
        <v/>
      </c>
      <c r="R349" s="23" t="str">
        <f t="shared" si="67"/>
        <v/>
      </c>
      <c r="S349" s="23" t="str">
        <f t="shared" si="68"/>
        <v/>
      </c>
      <c r="T349" s="23" t="str">
        <f t="shared" si="69"/>
        <v/>
      </c>
      <c r="U349" s="10"/>
    </row>
    <row r="350" spans="3:21" x14ac:dyDescent="0.25">
      <c r="C350" s="8"/>
      <c r="D350" s="8"/>
      <c r="E350" s="8"/>
      <c r="F350" s="8"/>
      <c r="G350" s="25" t="str">
        <f t="shared" si="62"/>
        <v/>
      </c>
      <c r="H350" s="8"/>
      <c r="I350" s="26" t="str">
        <f t="shared" si="63"/>
        <v/>
      </c>
      <c r="J350" s="8"/>
      <c r="K350" s="26" t="str">
        <f t="shared" si="64"/>
        <v/>
      </c>
      <c r="L350" s="8"/>
      <c r="M350" s="26" t="str">
        <f t="shared" si="65"/>
        <v/>
      </c>
      <c r="N350" s="8"/>
      <c r="O350" s="26" t="str">
        <f t="shared" si="66"/>
        <v/>
      </c>
      <c r="P350" s="23" t="str">
        <f t="shared" si="70"/>
        <v/>
      </c>
      <c r="Q350" s="23" t="str">
        <f t="shared" si="71"/>
        <v/>
      </c>
      <c r="R350" s="23" t="str">
        <f t="shared" si="67"/>
        <v/>
      </c>
      <c r="S350" s="23" t="str">
        <f t="shared" si="68"/>
        <v/>
      </c>
      <c r="T350" s="23" t="str">
        <f t="shared" si="69"/>
        <v/>
      </c>
      <c r="U350" s="10"/>
    </row>
    <row r="351" spans="3:21" x14ac:dyDescent="0.25">
      <c r="C351" s="8"/>
      <c r="D351" s="8"/>
      <c r="E351" s="8"/>
      <c r="F351" s="8"/>
      <c r="G351" s="25" t="str">
        <f t="shared" ref="G351:G414" si="72">IF(F351="","",VLOOKUP(F351,$Y$4:$Z$15,2,TRUE))</f>
        <v/>
      </c>
      <c r="H351" s="8"/>
      <c r="I351" s="26" t="str">
        <f t="shared" ref="I351:I414" si="73">IF(H351="","",VLOOKUP(H351,$Y$4:$Z$15,2,TRUE))</f>
        <v/>
      </c>
      <c r="J351" s="8"/>
      <c r="K351" s="26" t="str">
        <f t="shared" ref="K351:K414" si="74">IF(J351="","",VLOOKUP(J351,$Y$4:$Z$15,2,TRUE))</f>
        <v/>
      </c>
      <c r="L351" s="8"/>
      <c r="M351" s="26" t="str">
        <f t="shared" ref="M351:M414" si="75">IF(L351="","",VLOOKUP(L351,$Y$4:$Z$15,2,TRUE))</f>
        <v/>
      </c>
      <c r="N351" s="8"/>
      <c r="O351" s="26" t="str">
        <f t="shared" ref="O351:O414" si="76">IF(N351="","",VLOOKUP(N351,$Y$4:$Z$15,2,TRUE))</f>
        <v/>
      </c>
      <c r="P351" s="23" t="str">
        <f t="shared" si="70"/>
        <v/>
      </c>
      <c r="Q351" s="23" t="str">
        <f t="shared" si="71"/>
        <v/>
      </c>
      <c r="R351" s="23" t="str">
        <f t="shared" ref="R351:R414" si="77">IF(Q351="","",VLOOKUP(Q351,$W$4:$X$15,2,TRUE))</f>
        <v/>
      </c>
      <c r="S351" s="23" t="str">
        <f t="shared" ref="S351:S414" si="78">IF(P351="","",RANK(P351,$P$5:$P$998,0))</f>
        <v/>
      </c>
      <c r="T351" s="23" t="str">
        <f t="shared" ref="T351:T414" si="79">IFERROR(VLOOKUP(R351,$AA$4:$AB$15,2,FALSE),"")</f>
        <v/>
      </c>
      <c r="U351" s="10"/>
    </row>
    <row r="352" spans="3:21" x14ac:dyDescent="0.25">
      <c r="C352" s="8"/>
      <c r="D352" s="8"/>
      <c r="E352" s="8"/>
      <c r="F352" s="8"/>
      <c r="G352" s="25" t="str">
        <f t="shared" si="72"/>
        <v/>
      </c>
      <c r="H352" s="8"/>
      <c r="I352" s="26" t="str">
        <f t="shared" si="73"/>
        <v/>
      </c>
      <c r="J352" s="8"/>
      <c r="K352" s="26" t="str">
        <f t="shared" si="74"/>
        <v/>
      </c>
      <c r="L352" s="8"/>
      <c r="M352" s="26" t="str">
        <f t="shared" si="75"/>
        <v/>
      </c>
      <c r="N352" s="8"/>
      <c r="O352" s="26" t="str">
        <f t="shared" si="76"/>
        <v/>
      </c>
      <c r="P352" s="23" t="str">
        <f t="shared" si="70"/>
        <v/>
      </c>
      <c r="Q352" s="23" t="str">
        <f t="shared" si="71"/>
        <v/>
      </c>
      <c r="R352" s="23" t="str">
        <f t="shared" si="77"/>
        <v/>
      </c>
      <c r="S352" s="23" t="str">
        <f t="shared" si="78"/>
        <v/>
      </c>
      <c r="T352" s="23" t="str">
        <f t="shared" si="79"/>
        <v/>
      </c>
      <c r="U352" s="10"/>
    </row>
    <row r="353" spans="3:21" x14ac:dyDescent="0.25">
      <c r="C353" s="8"/>
      <c r="D353" s="8"/>
      <c r="E353" s="8"/>
      <c r="F353" s="8"/>
      <c r="G353" s="25" t="str">
        <f t="shared" si="72"/>
        <v/>
      </c>
      <c r="H353" s="8"/>
      <c r="I353" s="26" t="str">
        <f t="shared" si="73"/>
        <v/>
      </c>
      <c r="J353" s="8"/>
      <c r="K353" s="26" t="str">
        <f t="shared" si="74"/>
        <v/>
      </c>
      <c r="L353" s="8"/>
      <c r="M353" s="26" t="str">
        <f t="shared" si="75"/>
        <v/>
      </c>
      <c r="N353" s="8"/>
      <c r="O353" s="26" t="str">
        <f t="shared" si="76"/>
        <v/>
      </c>
      <c r="P353" s="23" t="str">
        <f t="shared" si="70"/>
        <v/>
      </c>
      <c r="Q353" s="23" t="str">
        <f t="shared" si="71"/>
        <v/>
      </c>
      <c r="R353" s="23" t="str">
        <f t="shared" si="77"/>
        <v/>
      </c>
      <c r="S353" s="23" t="str">
        <f t="shared" si="78"/>
        <v/>
      </c>
      <c r="T353" s="23" t="str">
        <f t="shared" si="79"/>
        <v/>
      </c>
      <c r="U353" s="10"/>
    </row>
    <row r="354" spans="3:21" x14ac:dyDescent="0.25">
      <c r="C354" s="8"/>
      <c r="D354" s="8"/>
      <c r="E354" s="8"/>
      <c r="F354" s="8"/>
      <c r="G354" s="25" t="str">
        <f t="shared" si="72"/>
        <v/>
      </c>
      <c r="H354" s="8"/>
      <c r="I354" s="26" t="str">
        <f t="shared" si="73"/>
        <v/>
      </c>
      <c r="J354" s="8"/>
      <c r="K354" s="26" t="str">
        <f t="shared" si="74"/>
        <v/>
      </c>
      <c r="L354" s="8"/>
      <c r="M354" s="26" t="str">
        <f t="shared" si="75"/>
        <v/>
      </c>
      <c r="N354" s="8"/>
      <c r="O354" s="26" t="str">
        <f t="shared" si="76"/>
        <v/>
      </c>
      <c r="P354" s="23" t="str">
        <f t="shared" si="70"/>
        <v/>
      </c>
      <c r="Q354" s="23" t="str">
        <f t="shared" si="71"/>
        <v/>
      </c>
      <c r="R354" s="23" t="str">
        <f t="shared" si="77"/>
        <v/>
      </c>
      <c r="S354" s="23" t="str">
        <f t="shared" si="78"/>
        <v/>
      </c>
      <c r="T354" s="23" t="str">
        <f t="shared" si="79"/>
        <v/>
      </c>
      <c r="U354" s="10"/>
    </row>
    <row r="355" spans="3:21" x14ac:dyDescent="0.25">
      <c r="C355" s="8"/>
      <c r="D355" s="8"/>
      <c r="E355" s="8"/>
      <c r="F355" s="8"/>
      <c r="G355" s="25" t="str">
        <f t="shared" si="72"/>
        <v/>
      </c>
      <c r="H355" s="8"/>
      <c r="I355" s="26" t="str">
        <f t="shared" si="73"/>
        <v/>
      </c>
      <c r="J355" s="8"/>
      <c r="K355" s="26" t="str">
        <f t="shared" si="74"/>
        <v/>
      </c>
      <c r="L355" s="8"/>
      <c r="M355" s="26" t="str">
        <f t="shared" si="75"/>
        <v/>
      </c>
      <c r="N355" s="8"/>
      <c r="O355" s="26" t="str">
        <f t="shared" si="76"/>
        <v/>
      </c>
      <c r="P355" s="23" t="str">
        <f t="shared" si="70"/>
        <v/>
      </c>
      <c r="Q355" s="23" t="str">
        <f t="shared" si="71"/>
        <v/>
      </c>
      <c r="R355" s="23" t="str">
        <f t="shared" si="77"/>
        <v/>
      </c>
      <c r="S355" s="23" t="str">
        <f t="shared" si="78"/>
        <v/>
      </c>
      <c r="T355" s="23" t="str">
        <f t="shared" si="79"/>
        <v/>
      </c>
      <c r="U355" s="10"/>
    </row>
    <row r="356" spans="3:21" x14ac:dyDescent="0.25">
      <c r="C356" s="8"/>
      <c r="D356" s="8"/>
      <c r="E356" s="8"/>
      <c r="F356" s="8"/>
      <c r="G356" s="25" t="str">
        <f t="shared" si="72"/>
        <v/>
      </c>
      <c r="H356" s="8"/>
      <c r="I356" s="26" t="str">
        <f t="shared" si="73"/>
        <v/>
      </c>
      <c r="J356" s="8"/>
      <c r="K356" s="26" t="str">
        <f t="shared" si="74"/>
        <v/>
      </c>
      <c r="L356" s="8"/>
      <c r="M356" s="26" t="str">
        <f t="shared" si="75"/>
        <v/>
      </c>
      <c r="N356" s="8"/>
      <c r="O356" s="26" t="str">
        <f t="shared" si="76"/>
        <v/>
      </c>
      <c r="P356" s="23" t="str">
        <f t="shared" si="70"/>
        <v/>
      </c>
      <c r="Q356" s="23" t="str">
        <f t="shared" si="71"/>
        <v/>
      </c>
      <c r="R356" s="23" t="str">
        <f t="shared" si="77"/>
        <v/>
      </c>
      <c r="S356" s="23" t="str">
        <f t="shared" si="78"/>
        <v/>
      </c>
      <c r="T356" s="23" t="str">
        <f t="shared" si="79"/>
        <v/>
      </c>
      <c r="U356" s="10"/>
    </row>
    <row r="357" spans="3:21" x14ac:dyDescent="0.25">
      <c r="C357" s="8"/>
      <c r="D357" s="8"/>
      <c r="E357" s="8"/>
      <c r="F357" s="8"/>
      <c r="G357" s="25" t="str">
        <f t="shared" si="72"/>
        <v/>
      </c>
      <c r="H357" s="8"/>
      <c r="I357" s="26" t="str">
        <f t="shared" si="73"/>
        <v/>
      </c>
      <c r="J357" s="8"/>
      <c r="K357" s="26" t="str">
        <f t="shared" si="74"/>
        <v/>
      </c>
      <c r="L357" s="8"/>
      <c r="M357" s="26" t="str">
        <f t="shared" si="75"/>
        <v/>
      </c>
      <c r="N357" s="8"/>
      <c r="O357" s="26" t="str">
        <f t="shared" si="76"/>
        <v/>
      </c>
      <c r="P357" s="23" t="str">
        <f t="shared" si="70"/>
        <v/>
      </c>
      <c r="Q357" s="23" t="str">
        <f t="shared" si="71"/>
        <v/>
      </c>
      <c r="R357" s="23" t="str">
        <f t="shared" si="77"/>
        <v/>
      </c>
      <c r="S357" s="23" t="str">
        <f t="shared" si="78"/>
        <v/>
      </c>
      <c r="T357" s="23" t="str">
        <f t="shared" si="79"/>
        <v/>
      </c>
      <c r="U357" s="10"/>
    </row>
    <row r="358" spans="3:21" x14ac:dyDescent="0.25">
      <c r="C358" s="8"/>
      <c r="D358" s="8"/>
      <c r="E358" s="8"/>
      <c r="F358" s="8"/>
      <c r="G358" s="25" t="str">
        <f t="shared" si="72"/>
        <v/>
      </c>
      <c r="H358" s="8"/>
      <c r="I358" s="26" t="str">
        <f t="shared" si="73"/>
        <v/>
      </c>
      <c r="J358" s="8"/>
      <c r="K358" s="26" t="str">
        <f t="shared" si="74"/>
        <v/>
      </c>
      <c r="L358" s="8"/>
      <c r="M358" s="26" t="str">
        <f t="shared" si="75"/>
        <v/>
      </c>
      <c r="N358" s="8"/>
      <c r="O358" s="26" t="str">
        <f t="shared" si="76"/>
        <v/>
      </c>
      <c r="P358" s="23" t="str">
        <f t="shared" si="70"/>
        <v/>
      </c>
      <c r="Q358" s="23" t="str">
        <f t="shared" si="71"/>
        <v/>
      </c>
      <c r="R358" s="23" t="str">
        <f t="shared" si="77"/>
        <v/>
      </c>
      <c r="S358" s="23" t="str">
        <f t="shared" si="78"/>
        <v/>
      </c>
      <c r="T358" s="23" t="str">
        <f t="shared" si="79"/>
        <v/>
      </c>
      <c r="U358" s="10"/>
    </row>
    <row r="359" spans="3:21" x14ac:dyDescent="0.25">
      <c r="C359" s="8"/>
      <c r="D359" s="8"/>
      <c r="E359" s="8"/>
      <c r="F359" s="8"/>
      <c r="G359" s="25" t="str">
        <f t="shared" si="72"/>
        <v/>
      </c>
      <c r="H359" s="8"/>
      <c r="I359" s="26" t="str">
        <f t="shared" si="73"/>
        <v/>
      </c>
      <c r="J359" s="8"/>
      <c r="K359" s="26" t="str">
        <f t="shared" si="74"/>
        <v/>
      </c>
      <c r="L359" s="8"/>
      <c r="M359" s="26" t="str">
        <f t="shared" si="75"/>
        <v/>
      </c>
      <c r="N359" s="8"/>
      <c r="O359" s="26" t="str">
        <f t="shared" si="76"/>
        <v/>
      </c>
      <c r="P359" s="23" t="str">
        <f t="shared" si="70"/>
        <v/>
      </c>
      <c r="Q359" s="23" t="str">
        <f t="shared" si="71"/>
        <v/>
      </c>
      <c r="R359" s="23" t="str">
        <f t="shared" si="77"/>
        <v/>
      </c>
      <c r="S359" s="23" t="str">
        <f t="shared" si="78"/>
        <v/>
      </c>
      <c r="T359" s="23" t="str">
        <f t="shared" si="79"/>
        <v/>
      </c>
      <c r="U359" s="10"/>
    </row>
    <row r="360" spans="3:21" x14ac:dyDescent="0.25">
      <c r="C360" s="8"/>
      <c r="D360" s="8"/>
      <c r="E360" s="8"/>
      <c r="F360" s="8"/>
      <c r="G360" s="25" t="str">
        <f t="shared" si="72"/>
        <v/>
      </c>
      <c r="H360" s="8"/>
      <c r="I360" s="26" t="str">
        <f t="shared" si="73"/>
        <v/>
      </c>
      <c r="J360" s="8"/>
      <c r="K360" s="26" t="str">
        <f t="shared" si="74"/>
        <v/>
      </c>
      <c r="L360" s="8"/>
      <c r="M360" s="26" t="str">
        <f t="shared" si="75"/>
        <v/>
      </c>
      <c r="N360" s="8"/>
      <c r="O360" s="26" t="str">
        <f t="shared" si="76"/>
        <v/>
      </c>
      <c r="P360" s="23" t="str">
        <f t="shared" si="70"/>
        <v/>
      </c>
      <c r="Q360" s="23" t="str">
        <f t="shared" si="71"/>
        <v/>
      </c>
      <c r="R360" s="23" t="str">
        <f t="shared" si="77"/>
        <v/>
      </c>
      <c r="S360" s="23" t="str">
        <f t="shared" si="78"/>
        <v/>
      </c>
      <c r="T360" s="23" t="str">
        <f t="shared" si="79"/>
        <v/>
      </c>
      <c r="U360" s="10"/>
    </row>
    <row r="361" spans="3:21" x14ac:dyDescent="0.25">
      <c r="C361" s="8"/>
      <c r="D361" s="8"/>
      <c r="E361" s="8"/>
      <c r="F361" s="8"/>
      <c r="G361" s="25" t="str">
        <f t="shared" si="72"/>
        <v/>
      </c>
      <c r="H361" s="8"/>
      <c r="I361" s="26" t="str">
        <f t="shared" si="73"/>
        <v/>
      </c>
      <c r="J361" s="8"/>
      <c r="K361" s="26" t="str">
        <f t="shared" si="74"/>
        <v/>
      </c>
      <c r="L361" s="8"/>
      <c r="M361" s="26" t="str">
        <f t="shared" si="75"/>
        <v/>
      </c>
      <c r="N361" s="8"/>
      <c r="O361" s="26" t="str">
        <f t="shared" si="76"/>
        <v/>
      </c>
      <c r="P361" s="23" t="str">
        <f t="shared" si="70"/>
        <v/>
      </c>
      <c r="Q361" s="23" t="str">
        <f t="shared" si="71"/>
        <v/>
      </c>
      <c r="R361" s="23" t="str">
        <f t="shared" si="77"/>
        <v/>
      </c>
      <c r="S361" s="23" t="str">
        <f t="shared" si="78"/>
        <v/>
      </c>
      <c r="T361" s="23" t="str">
        <f t="shared" si="79"/>
        <v/>
      </c>
      <c r="U361" s="10"/>
    </row>
    <row r="362" spans="3:21" x14ac:dyDescent="0.25">
      <c r="C362" s="8"/>
      <c r="D362" s="8"/>
      <c r="E362" s="8"/>
      <c r="F362" s="8"/>
      <c r="G362" s="25" t="str">
        <f t="shared" si="72"/>
        <v/>
      </c>
      <c r="H362" s="8"/>
      <c r="I362" s="26" t="str">
        <f t="shared" si="73"/>
        <v/>
      </c>
      <c r="J362" s="8"/>
      <c r="K362" s="26" t="str">
        <f t="shared" si="74"/>
        <v/>
      </c>
      <c r="L362" s="8"/>
      <c r="M362" s="26" t="str">
        <f t="shared" si="75"/>
        <v/>
      </c>
      <c r="N362" s="8"/>
      <c r="O362" s="26" t="str">
        <f t="shared" si="76"/>
        <v/>
      </c>
      <c r="P362" s="23" t="str">
        <f t="shared" si="70"/>
        <v/>
      </c>
      <c r="Q362" s="23" t="str">
        <f t="shared" si="71"/>
        <v/>
      </c>
      <c r="R362" s="23" t="str">
        <f t="shared" si="77"/>
        <v/>
      </c>
      <c r="S362" s="23" t="str">
        <f t="shared" si="78"/>
        <v/>
      </c>
      <c r="T362" s="23" t="str">
        <f t="shared" si="79"/>
        <v/>
      </c>
      <c r="U362" s="10"/>
    </row>
    <row r="363" spans="3:21" x14ac:dyDescent="0.25">
      <c r="C363" s="8"/>
      <c r="D363" s="8"/>
      <c r="E363" s="8"/>
      <c r="F363" s="8"/>
      <c r="G363" s="25" t="str">
        <f t="shared" si="72"/>
        <v/>
      </c>
      <c r="H363" s="8"/>
      <c r="I363" s="26" t="str">
        <f t="shared" si="73"/>
        <v/>
      </c>
      <c r="J363" s="8"/>
      <c r="K363" s="26" t="str">
        <f t="shared" si="74"/>
        <v/>
      </c>
      <c r="L363" s="8"/>
      <c r="M363" s="26" t="str">
        <f t="shared" si="75"/>
        <v/>
      </c>
      <c r="N363" s="8"/>
      <c r="O363" s="26" t="str">
        <f t="shared" si="76"/>
        <v/>
      </c>
      <c r="P363" s="23" t="str">
        <f t="shared" si="70"/>
        <v/>
      </c>
      <c r="Q363" s="23" t="str">
        <f t="shared" si="71"/>
        <v/>
      </c>
      <c r="R363" s="23" t="str">
        <f t="shared" si="77"/>
        <v/>
      </c>
      <c r="S363" s="23" t="str">
        <f t="shared" si="78"/>
        <v/>
      </c>
      <c r="T363" s="23" t="str">
        <f t="shared" si="79"/>
        <v/>
      </c>
      <c r="U363" s="10"/>
    </row>
    <row r="364" spans="3:21" x14ac:dyDescent="0.25">
      <c r="C364" s="8"/>
      <c r="D364" s="8"/>
      <c r="E364" s="8"/>
      <c r="F364" s="8"/>
      <c r="G364" s="25" t="str">
        <f t="shared" si="72"/>
        <v/>
      </c>
      <c r="H364" s="8"/>
      <c r="I364" s="26" t="str">
        <f t="shared" si="73"/>
        <v/>
      </c>
      <c r="J364" s="8"/>
      <c r="K364" s="26" t="str">
        <f t="shared" si="74"/>
        <v/>
      </c>
      <c r="L364" s="8"/>
      <c r="M364" s="26" t="str">
        <f t="shared" si="75"/>
        <v/>
      </c>
      <c r="N364" s="8"/>
      <c r="O364" s="26" t="str">
        <f t="shared" si="76"/>
        <v/>
      </c>
      <c r="P364" s="23" t="str">
        <f t="shared" si="70"/>
        <v/>
      </c>
      <c r="Q364" s="23" t="str">
        <f t="shared" si="71"/>
        <v/>
      </c>
      <c r="R364" s="23" t="str">
        <f t="shared" si="77"/>
        <v/>
      </c>
      <c r="S364" s="23" t="str">
        <f t="shared" si="78"/>
        <v/>
      </c>
      <c r="T364" s="23" t="str">
        <f t="shared" si="79"/>
        <v/>
      </c>
      <c r="U364" s="10"/>
    </row>
    <row r="365" spans="3:21" x14ac:dyDescent="0.25">
      <c r="C365" s="8"/>
      <c r="D365" s="8"/>
      <c r="E365" s="8"/>
      <c r="F365" s="8"/>
      <c r="G365" s="25" t="str">
        <f t="shared" si="72"/>
        <v/>
      </c>
      <c r="H365" s="8"/>
      <c r="I365" s="26" t="str">
        <f t="shared" si="73"/>
        <v/>
      </c>
      <c r="J365" s="8"/>
      <c r="K365" s="26" t="str">
        <f t="shared" si="74"/>
        <v/>
      </c>
      <c r="L365" s="8"/>
      <c r="M365" s="26" t="str">
        <f t="shared" si="75"/>
        <v/>
      </c>
      <c r="N365" s="8"/>
      <c r="O365" s="26" t="str">
        <f t="shared" si="76"/>
        <v/>
      </c>
      <c r="P365" s="23" t="str">
        <f t="shared" si="70"/>
        <v/>
      </c>
      <c r="Q365" s="23" t="str">
        <f t="shared" si="71"/>
        <v/>
      </c>
      <c r="R365" s="23" t="str">
        <f t="shared" si="77"/>
        <v/>
      </c>
      <c r="S365" s="23" t="str">
        <f t="shared" si="78"/>
        <v/>
      </c>
      <c r="T365" s="23" t="str">
        <f t="shared" si="79"/>
        <v/>
      </c>
      <c r="U365" s="10"/>
    </row>
    <row r="366" spans="3:21" x14ac:dyDescent="0.25">
      <c r="C366" s="8"/>
      <c r="D366" s="8"/>
      <c r="E366" s="8"/>
      <c r="F366" s="8"/>
      <c r="G366" s="25" t="str">
        <f t="shared" si="72"/>
        <v/>
      </c>
      <c r="H366" s="8"/>
      <c r="I366" s="26" t="str">
        <f t="shared" si="73"/>
        <v/>
      </c>
      <c r="J366" s="8"/>
      <c r="K366" s="26" t="str">
        <f t="shared" si="74"/>
        <v/>
      </c>
      <c r="L366" s="8"/>
      <c r="M366" s="26" t="str">
        <f t="shared" si="75"/>
        <v/>
      </c>
      <c r="N366" s="8"/>
      <c r="O366" s="26" t="str">
        <f t="shared" si="76"/>
        <v/>
      </c>
      <c r="P366" s="23" t="str">
        <f t="shared" si="70"/>
        <v/>
      </c>
      <c r="Q366" s="23" t="str">
        <f t="shared" si="71"/>
        <v/>
      </c>
      <c r="R366" s="23" t="str">
        <f t="shared" si="77"/>
        <v/>
      </c>
      <c r="S366" s="23" t="str">
        <f t="shared" si="78"/>
        <v/>
      </c>
      <c r="T366" s="23" t="str">
        <f t="shared" si="79"/>
        <v/>
      </c>
      <c r="U366" s="10"/>
    </row>
    <row r="367" spans="3:21" x14ac:dyDescent="0.25">
      <c r="C367" s="8"/>
      <c r="D367" s="8"/>
      <c r="E367" s="8"/>
      <c r="F367" s="8"/>
      <c r="G367" s="25" t="str">
        <f t="shared" si="72"/>
        <v/>
      </c>
      <c r="H367" s="8"/>
      <c r="I367" s="26" t="str">
        <f t="shared" si="73"/>
        <v/>
      </c>
      <c r="J367" s="8"/>
      <c r="K367" s="26" t="str">
        <f t="shared" si="74"/>
        <v/>
      </c>
      <c r="L367" s="8"/>
      <c r="M367" s="26" t="str">
        <f t="shared" si="75"/>
        <v/>
      </c>
      <c r="N367" s="8"/>
      <c r="O367" s="26" t="str">
        <f t="shared" si="76"/>
        <v/>
      </c>
      <c r="P367" s="23" t="str">
        <f t="shared" si="70"/>
        <v/>
      </c>
      <c r="Q367" s="23" t="str">
        <f t="shared" si="71"/>
        <v/>
      </c>
      <c r="R367" s="23" t="str">
        <f t="shared" si="77"/>
        <v/>
      </c>
      <c r="S367" s="23" t="str">
        <f t="shared" si="78"/>
        <v/>
      </c>
      <c r="T367" s="23" t="str">
        <f t="shared" si="79"/>
        <v/>
      </c>
      <c r="U367" s="10"/>
    </row>
    <row r="368" spans="3:21" x14ac:dyDescent="0.25">
      <c r="C368" s="8"/>
      <c r="D368" s="8"/>
      <c r="E368" s="8"/>
      <c r="F368" s="8"/>
      <c r="G368" s="25" t="str">
        <f t="shared" si="72"/>
        <v/>
      </c>
      <c r="H368" s="8"/>
      <c r="I368" s="26" t="str">
        <f t="shared" si="73"/>
        <v/>
      </c>
      <c r="J368" s="8"/>
      <c r="K368" s="26" t="str">
        <f t="shared" si="74"/>
        <v/>
      </c>
      <c r="L368" s="8"/>
      <c r="M368" s="26" t="str">
        <f t="shared" si="75"/>
        <v/>
      </c>
      <c r="N368" s="8"/>
      <c r="O368" s="26" t="str">
        <f t="shared" si="76"/>
        <v/>
      </c>
      <c r="P368" s="23" t="str">
        <f t="shared" si="70"/>
        <v/>
      </c>
      <c r="Q368" s="23" t="str">
        <f t="shared" si="71"/>
        <v/>
      </c>
      <c r="R368" s="23" t="str">
        <f t="shared" si="77"/>
        <v/>
      </c>
      <c r="S368" s="23" t="str">
        <f t="shared" si="78"/>
        <v/>
      </c>
      <c r="T368" s="23" t="str">
        <f t="shared" si="79"/>
        <v/>
      </c>
      <c r="U368" s="10"/>
    </row>
    <row r="369" spans="3:21" x14ac:dyDescent="0.25">
      <c r="C369" s="8"/>
      <c r="D369" s="8"/>
      <c r="E369" s="8"/>
      <c r="F369" s="8"/>
      <c r="G369" s="25" t="str">
        <f t="shared" si="72"/>
        <v/>
      </c>
      <c r="H369" s="8"/>
      <c r="I369" s="26" t="str">
        <f t="shared" si="73"/>
        <v/>
      </c>
      <c r="J369" s="8"/>
      <c r="K369" s="26" t="str">
        <f t="shared" si="74"/>
        <v/>
      </c>
      <c r="L369" s="8"/>
      <c r="M369" s="26" t="str">
        <f t="shared" si="75"/>
        <v/>
      </c>
      <c r="N369" s="8"/>
      <c r="O369" s="26" t="str">
        <f t="shared" si="76"/>
        <v/>
      </c>
      <c r="P369" s="23" t="str">
        <f t="shared" si="70"/>
        <v/>
      </c>
      <c r="Q369" s="23" t="str">
        <f t="shared" si="71"/>
        <v/>
      </c>
      <c r="R369" s="23" t="str">
        <f t="shared" si="77"/>
        <v/>
      </c>
      <c r="S369" s="23" t="str">
        <f t="shared" si="78"/>
        <v/>
      </c>
      <c r="T369" s="23" t="str">
        <f t="shared" si="79"/>
        <v/>
      </c>
      <c r="U369" s="10"/>
    </row>
    <row r="370" spans="3:21" x14ac:dyDescent="0.25">
      <c r="C370" s="8"/>
      <c r="D370" s="8"/>
      <c r="E370" s="8"/>
      <c r="F370" s="8"/>
      <c r="G370" s="25" t="str">
        <f t="shared" si="72"/>
        <v/>
      </c>
      <c r="H370" s="8"/>
      <c r="I370" s="26" t="str">
        <f t="shared" si="73"/>
        <v/>
      </c>
      <c r="J370" s="8"/>
      <c r="K370" s="26" t="str">
        <f t="shared" si="74"/>
        <v/>
      </c>
      <c r="L370" s="8"/>
      <c r="M370" s="26" t="str">
        <f t="shared" si="75"/>
        <v/>
      </c>
      <c r="N370" s="8"/>
      <c r="O370" s="26" t="str">
        <f t="shared" si="76"/>
        <v/>
      </c>
      <c r="P370" s="23" t="str">
        <f t="shared" si="70"/>
        <v/>
      </c>
      <c r="Q370" s="23" t="str">
        <f t="shared" si="71"/>
        <v/>
      </c>
      <c r="R370" s="23" t="str">
        <f t="shared" si="77"/>
        <v/>
      </c>
      <c r="S370" s="23" t="str">
        <f t="shared" si="78"/>
        <v/>
      </c>
      <c r="T370" s="23" t="str">
        <f t="shared" si="79"/>
        <v/>
      </c>
      <c r="U370" s="10"/>
    </row>
    <row r="371" spans="3:21" x14ac:dyDescent="0.25">
      <c r="C371" s="8"/>
      <c r="D371" s="8"/>
      <c r="E371" s="8"/>
      <c r="F371" s="8"/>
      <c r="G371" s="25" t="str">
        <f t="shared" si="72"/>
        <v/>
      </c>
      <c r="H371" s="8"/>
      <c r="I371" s="26" t="str">
        <f t="shared" si="73"/>
        <v/>
      </c>
      <c r="J371" s="8"/>
      <c r="K371" s="26" t="str">
        <f t="shared" si="74"/>
        <v/>
      </c>
      <c r="L371" s="8"/>
      <c r="M371" s="26" t="str">
        <f t="shared" si="75"/>
        <v/>
      </c>
      <c r="N371" s="8"/>
      <c r="O371" s="26" t="str">
        <f t="shared" si="76"/>
        <v/>
      </c>
      <c r="P371" s="23" t="str">
        <f t="shared" si="70"/>
        <v/>
      </c>
      <c r="Q371" s="23" t="str">
        <f t="shared" si="71"/>
        <v/>
      </c>
      <c r="R371" s="23" t="str">
        <f t="shared" si="77"/>
        <v/>
      </c>
      <c r="S371" s="23" t="str">
        <f t="shared" si="78"/>
        <v/>
      </c>
      <c r="T371" s="23" t="str">
        <f t="shared" si="79"/>
        <v/>
      </c>
      <c r="U371" s="10"/>
    </row>
    <row r="372" spans="3:21" x14ac:dyDescent="0.25">
      <c r="C372" s="8"/>
      <c r="D372" s="8"/>
      <c r="E372" s="8"/>
      <c r="F372" s="8"/>
      <c r="G372" s="25" t="str">
        <f t="shared" si="72"/>
        <v/>
      </c>
      <c r="H372" s="8"/>
      <c r="I372" s="26" t="str">
        <f t="shared" si="73"/>
        <v/>
      </c>
      <c r="J372" s="8"/>
      <c r="K372" s="26" t="str">
        <f t="shared" si="74"/>
        <v/>
      </c>
      <c r="L372" s="8"/>
      <c r="M372" s="26" t="str">
        <f t="shared" si="75"/>
        <v/>
      </c>
      <c r="N372" s="8"/>
      <c r="O372" s="26" t="str">
        <f t="shared" si="76"/>
        <v/>
      </c>
      <c r="P372" s="23" t="str">
        <f t="shared" si="70"/>
        <v/>
      </c>
      <c r="Q372" s="23" t="str">
        <f t="shared" si="71"/>
        <v/>
      </c>
      <c r="R372" s="23" t="str">
        <f t="shared" si="77"/>
        <v/>
      </c>
      <c r="S372" s="23" t="str">
        <f t="shared" si="78"/>
        <v/>
      </c>
      <c r="T372" s="23" t="str">
        <f t="shared" si="79"/>
        <v/>
      </c>
      <c r="U372" s="10"/>
    </row>
    <row r="373" spans="3:21" x14ac:dyDescent="0.25">
      <c r="C373" s="8"/>
      <c r="D373" s="8"/>
      <c r="E373" s="8"/>
      <c r="F373" s="8"/>
      <c r="G373" s="25" t="str">
        <f t="shared" si="72"/>
        <v/>
      </c>
      <c r="H373" s="8"/>
      <c r="I373" s="26" t="str">
        <f t="shared" si="73"/>
        <v/>
      </c>
      <c r="J373" s="8"/>
      <c r="K373" s="26" t="str">
        <f t="shared" si="74"/>
        <v/>
      </c>
      <c r="L373" s="8"/>
      <c r="M373" s="26" t="str">
        <f t="shared" si="75"/>
        <v/>
      </c>
      <c r="N373" s="8"/>
      <c r="O373" s="26" t="str">
        <f t="shared" si="76"/>
        <v/>
      </c>
      <c r="P373" s="23" t="str">
        <f t="shared" si="70"/>
        <v/>
      </c>
      <c r="Q373" s="23" t="str">
        <f t="shared" si="71"/>
        <v/>
      </c>
      <c r="R373" s="23" t="str">
        <f t="shared" si="77"/>
        <v/>
      </c>
      <c r="S373" s="23" t="str">
        <f t="shared" si="78"/>
        <v/>
      </c>
      <c r="T373" s="23" t="str">
        <f t="shared" si="79"/>
        <v/>
      </c>
      <c r="U373" s="10"/>
    </row>
    <row r="374" spans="3:21" x14ac:dyDescent="0.25">
      <c r="C374" s="8"/>
      <c r="D374" s="8"/>
      <c r="E374" s="8"/>
      <c r="F374" s="8"/>
      <c r="G374" s="25" t="str">
        <f t="shared" si="72"/>
        <v/>
      </c>
      <c r="H374" s="8"/>
      <c r="I374" s="26" t="str">
        <f t="shared" si="73"/>
        <v/>
      </c>
      <c r="J374" s="8"/>
      <c r="K374" s="26" t="str">
        <f t="shared" si="74"/>
        <v/>
      </c>
      <c r="L374" s="8"/>
      <c r="M374" s="26" t="str">
        <f t="shared" si="75"/>
        <v/>
      </c>
      <c r="N374" s="8"/>
      <c r="O374" s="26" t="str">
        <f t="shared" si="76"/>
        <v/>
      </c>
      <c r="P374" s="23" t="str">
        <f t="shared" si="70"/>
        <v/>
      </c>
      <c r="Q374" s="23" t="str">
        <f t="shared" si="71"/>
        <v/>
      </c>
      <c r="R374" s="23" t="str">
        <f t="shared" si="77"/>
        <v/>
      </c>
      <c r="S374" s="23" t="str">
        <f t="shared" si="78"/>
        <v/>
      </c>
      <c r="T374" s="23" t="str">
        <f t="shared" si="79"/>
        <v/>
      </c>
      <c r="U374" s="10"/>
    </row>
    <row r="375" spans="3:21" x14ac:dyDescent="0.25">
      <c r="C375" s="8"/>
      <c r="D375" s="8"/>
      <c r="E375" s="8"/>
      <c r="F375" s="8"/>
      <c r="G375" s="25" t="str">
        <f t="shared" si="72"/>
        <v/>
      </c>
      <c r="H375" s="8"/>
      <c r="I375" s="26" t="str">
        <f t="shared" si="73"/>
        <v/>
      </c>
      <c r="J375" s="8"/>
      <c r="K375" s="26" t="str">
        <f t="shared" si="74"/>
        <v/>
      </c>
      <c r="L375" s="8"/>
      <c r="M375" s="26" t="str">
        <f t="shared" si="75"/>
        <v/>
      </c>
      <c r="N375" s="8"/>
      <c r="O375" s="26" t="str">
        <f t="shared" si="76"/>
        <v/>
      </c>
      <c r="P375" s="23" t="str">
        <f t="shared" si="70"/>
        <v/>
      </c>
      <c r="Q375" s="23" t="str">
        <f t="shared" si="71"/>
        <v/>
      </c>
      <c r="R375" s="23" t="str">
        <f t="shared" si="77"/>
        <v/>
      </c>
      <c r="S375" s="23" t="str">
        <f t="shared" si="78"/>
        <v/>
      </c>
      <c r="T375" s="23" t="str">
        <f t="shared" si="79"/>
        <v/>
      </c>
      <c r="U375" s="10"/>
    </row>
    <row r="376" spans="3:21" x14ac:dyDescent="0.25">
      <c r="C376" s="8"/>
      <c r="D376" s="8"/>
      <c r="E376" s="8"/>
      <c r="F376" s="8"/>
      <c r="G376" s="25" t="str">
        <f t="shared" si="72"/>
        <v/>
      </c>
      <c r="H376" s="8"/>
      <c r="I376" s="26" t="str">
        <f t="shared" si="73"/>
        <v/>
      </c>
      <c r="J376" s="8"/>
      <c r="K376" s="26" t="str">
        <f t="shared" si="74"/>
        <v/>
      </c>
      <c r="L376" s="8"/>
      <c r="M376" s="26" t="str">
        <f t="shared" si="75"/>
        <v/>
      </c>
      <c r="N376" s="8"/>
      <c r="O376" s="26" t="str">
        <f t="shared" si="76"/>
        <v/>
      </c>
      <c r="P376" s="23" t="str">
        <f t="shared" si="70"/>
        <v/>
      </c>
      <c r="Q376" s="23" t="str">
        <f t="shared" si="71"/>
        <v/>
      </c>
      <c r="R376" s="23" t="str">
        <f t="shared" si="77"/>
        <v/>
      </c>
      <c r="S376" s="23" t="str">
        <f t="shared" si="78"/>
        <v/>
      </c>
      <c r="T376" s="23" t="str">
        <f t="shared" si="79"/>
        <v/>
      </c>
      <c r="U376" s="10"/>
    </row>
    <row r="377" spans="3:21" x14ac:dyDescent="0.25">
      <c r="C377" s="8"/>
      <c r="D377" s="8"/>
      <c r="E377" s="8"/>
      <c r="F377" s="8"/>
      <c r="G377" s="25" t="str">
        <f t="shared" si="72"/>
        <v/>
      </c>
      <c r="H377" s="8"/>
      <c r="I377" s="26" t="str">
        <f t="shared" si="73"/>
        <v/>
      </c>
      <c r="J377" s="8"/>
      <c r="K377" s="26" t="str">
        <f t="shared" si="74"/>
        <v/>
      </c>
      <c r="L377" s="8"/>
      <c r="M377" s="26" t="str">
        <f t="shared" si="75"/>
        <v/>
      </c>
      <c r="N377" s="8"/>
      <c r="O377" s="26" t="str">
        <f t="shared" si="76"/>
        <v/>
      </c>
      <c r="P377" s="23" t="str">
        <f t="shared" si="70"/>
        <v/>
      </c>
      <c r="Q377" s="23" t="str">
        <f t="shared" si="71"/>
        <v/>
      </c>
      <c r="R377" s="23" t="str">
        <f t="shared" si="77"/>
        <v/>
      </c>
      <c r="S377" s="23" t="str">
        <f t="shared" si="78"/>
        <v/>
      </c>
      <c r="T377" s="23" t="str">
        <f t="shared" si="79"/>
        <v/>
      </c>
      <c r="U377" s="10"/>
    </row>
    <row r="378" spans="3:21" x14ac:dyDescent="0.25">
      <c r="C378" s="8"/>
      <c r="D378" s="8"/>
      <c r="E378" s="8"/>
      <c r="F378" s="8"/>
      <c r="G378" s="25" t="str">
        <f t="shared" si="72"/>
        <v/>
      </c>
      <c r="H378" s="8"/>
      <c r="I378" s="26" t="str">
        <f t="shared" si="73"/>
        <v/>
      </c>
      <c r="J378" s="8"/>
      <c r="K378" s="26" t="str">
        <f t="shared" si="74"/>
        <v/>
      </c>
      <c r="L378" s="8"/>
      <c r="M378" s="26" t="str">
        <f t="shared" si="75"/>
        <v/>
      </c>
      <c r="N378" s="8"/>
      <c r="O378" s="26" t="str">
        <f t="shared" si="76"/>
        <v/>
      </c>
      <c r="P378" s="23" t="str">
        <f t="shared" si="70"/>
        <v/>
      </c>
      <c r="Q378" s="23" t="str">
        <f t="shared" si="71"/>
        <v/>
      </c>
      <c r="R378" s="23" t="str">
        <f t="shared" si="77"/>
        <v/>
      </c>
      <c r="S378" s="23" t="str">
        <f t="shared" si="78"/>
        <v/>
      </c>
      <c r="T378" s="23" t="str">
        <f t="shared" si="79"/>
        <v/>
      </c>
      <c r="U378" s="10"/>
    </row>
    <row r="379" spans="3:21" x14ac:dyDescent="0.25">
      <c r="C379" s="8"/>
      <c r="D379" s="8"/>
      <c r="E379" s="8"/>
      <c r="F379" s="8"/>
      <c r="G379" s="25" t="str">
        <f t="shared" si="72"/>
        <v/>
      </c>
      <c r="H379" s="8"/>
      <c r="I379" s="26" t="str">
        <f t="shared" si="73"/>
        <v/>
      </c>
      <c r="J379" s="8"/>
      <c r="K379" s="26" t="str">
        <f t="shared" si="74"/>
        <v/>
      </c>
      <c r="L379" s="8"/>
      <c r="M379" s="26" t="str">
        <f t="shared" si="75"/>
        <v/>
      </c>
      <c r="N379" s="8"/>
      <c r="O379" s="26" t="str">
        <f t="shared" si="76"/>
        <v/>
      </c>
      <c r="P379" s="23" t="str">
        <f t="shared" si="70"/>
        <v/>
      </c>
      <c r="Q379" s="23" t="str">
        <f t="shared" si="71"/>
        <v/>
      </c>
      <c r="R379" s="23" t="str">
        <f t="shared" si="77"/>
        <v/>
      </c>
      <c r="S379" s="23" t="str">
        <f t="shared" si="78"/>
        <v/>
      </c>
      <c r="T379" s="23" t="str">
        <f t="shared" si="79"/>
        <v/>
      </c>
      <c r="U379" s="10"/>
    </row>
    <row r="380" spans="3:21" x14ac:dyDescent="0.25">
      <c r="C380" s="8"/>
      <c r="D380" s="8"/>
      <c r="E380" s="8"/>
      <c r="F380" s="8"/>
      <c r="G380" s="25" t="str">
        <f t="shared" si="72"/>
        <v/>
      </c>
      <c r="H380" s="8"/>
      <c r="I380" s="26" t="str">
        <f t="shared" si="73"/>
        <v/>
      </c>
      <c r="J380" s="8"/>
      <c r="K380" s="26" t="str">
        <f t="shared" si="74"/>
        <v/>
      </c>
      <c r="L380" s="8"/>
      <c r="M380" s="26" t="str">
        <f t="shared" si="75"/>
        <v/>
      </c>
      <c r="N380" s="8"/>
      <c r="O380" s="26" t="str">
        <f t="shared" si="76"/>
        <v/>
      </c>
      <c r="P380" s="23" t="str">
        <f t="shared" si="70"/>
        <v/>
      </c>
      <c r="Q380" s="23" t="str">
        <f t="shared" si="71"/>
        <v/>
      </c>
      <c r="R380" s="23" t="str">
        <f t="shared" si="77"/>
        <v/>
      </c>
      <c r="S380" s="23" t="str">
        <f t="shared" si="78"/>
        <v/>
      </c>
      <c r="T380" s="23" t="str">
        <f t="shared" si="79"/>
        <v/>
      </c>
      <c r="U380" s="10"/>
    </row>
    <row r="381" spans="3:21" x14ac:dyDescent="0.25">
      <c r="C381" s="8"/>
      <c r="D381" s="8"/>
      <c r="E381" s="8"/>
      <c r="F381" s="8"/>
      <c r="G381" s="25" t="str">
        <f t="shared" si="72"/>
        <v/>
      </c>
      <c r="H381" s="8"/>
      <c r="I381" s="26" t="str">
        <f t="shared" si="73"/>
        <v/>
      </c>
      <c r="J381" s="8"/>
      <c r="K381" s="26" t="str">
        <f t="shared" si="74"/>
        <v/>
      </c>
      <c r="L381" s="8"/>
      <c r="M381" s="26" t="str">
        <f t="shared" si="75"/>
        <v/>
      </c>
      <c r="N381" s="8"/>
      <c r="O381" s="26" t="str">
        <f t="shared" si="76"/>
        <v/>
      </c>
      <c r="P381" s="23" t="str">
        <f t="shared" si="70"/>
        <v/>
      </c>
      <c r="Q381" s="23" t="str">
        <f t="shared" si="71"/>
        <v/>
      </c>
      <c r="R381" s="23" t="str">
        <f t="shared" si="77"/>
        <v/>
      </c>
      <c r="S381" s="23" t="str">
        <f t="shared" si="78"/>
        <v/>
      </c>
      <c r="T381" s="23" t="str">
        <f t="shared" si="79"/>
        <v/>
      </c>
      <c r="U381" s="10"/>
    </row>
    <row r="382" spans="3:21" x14ac:dyDescent="0.25">
      <c r="C382" s="8"/>
      <c r="D382" s="8"/>
      <c r="E382" s="8"/>
      <c r="F382" s="8"/>
      <c r="G382" s="25" t="str">
        <f t="shared" si="72"/>
        <v/>
      </c>
      <c r="H382" s="8"/>
      <c r="I382" s="26" t="str">
        <f t="shared" si="73"/>
        <v/>
      </c>
      <c r="J382" s="8"/>
      <c r="K382" s="26" t="str">
        <f t="shared" si="74"/>
        <v/>
      </c>
      <c r="L382" s="8"/>
      <c r="M382" s="26" t="str">
        <f t="shared" si="75"/>
        <v/>
      </c>
      <c r="N382" s="8"/>
      <c r="O382" s="26" t="str">
        <f t="shared" si="76"/>
        <v/>
      </c>
      <c r="P382" s="23" t="str">
        <f t="shared" si="70"/>
        <v/>
      </c>
      <c r="Q382" s="23" t="str">
        <f t="shared" si="71"/>
        <v/>
      </c>
      <c r="R382" s="23" t="str">
        <f t="shared" si="77"/>
        <v/>
      </c>
      <c r="S382" s="23" t="str">
        <f t="shared" si="78"/>
        <v/>
      </c>
      <c r="T382" s="23" t="str">
        <f t="shared" si="79"/>
        <v/>
      </c>
      <c r="U382" s="10"/>
    </row>
    <row r="383" spans="3:21" x14ac:dyDescent="0.25">
      <c r="C383" s="8"/>
      <c r="D383" s="8"/>
      <c r="E383" s="8"/>
      <c r="F383" s="8"/>
      <c r="G383" s="25" t="str">
        <f t="shared" si="72"/>
        <v/>
      </c>
      <c r="H383" s="8"/>
      <c r="I383" s="26" t="str">
        <f t="shared" si="73"/>
        <v/>
      </c>
      <c r="J383" s="8"/>
      <c r="K383" s="26" t="str">
        <f t="shared" si="74"/>
        <v/>
      </c>
      <c r="L383" s="8"/>
      <c r="M383" s="26" t="str">
        <f t="shared" si="75"/>
        <v/>
      </c>
      <c r="N383" s="8"/>
      <c r="O383" s="26" t="str">
        <f t="shared" si="76"/>
        <v/>
      </c>
      <c r="P383" s="23" t="str">
        <f t="shared" si="70"/>
        <v/>
      </c>
      <c r="Q383" s="23" t="str">
        <f t="shared" si="71"/>
        <v/>
      </c>
      <c r="R383" s="23" t="str">
        <f t="shared" si="77"/>
        <v/>
      </c>
      <c r="S383" s="23" t="str">
        <f t="shared" si="78"/>
        <v/>
      </c>
      <c r="T383" s="23" t="str">
        <f t="shared" si="79"/>
        <v/>
      </c>
      <c r="U383" s="10"/>
    </row>
    <row r="384" spans="3:21" x14ac:dyDescent="0.25">
      <c r="C384" s="8"/>
      <c r="D384" s="8"/>
      <c r="E384" s="8"/>
      <c r="F384" s="8"/>
      <c r="G384" s="25" t="str">
        <f t="shared" si="72"/>
        <v/>
      </c>
      <c r="H384" s="8"/>
      <c r="I384" s="26" t="str">
        <f t="shared" si="73"/>
        <v/>
      </c>
      <c r="J384" s="8"/>
      <c r="K384" s="26" t="str">
        <f t="shared" si="74"/>
        <v/>
      </c>
      <c r="L384" s="8"/>
      <c r="M384" s="26" t="str">
        <f t="shared" si="75"/>
        <v/>
      </c>
      <c r="N384" s="8"/>
      <c r="O384" s="26" t="str">
        <f t="shared" si="76"/>
        <v/>
      </c>
      <c r="P384" s="23" t="str">
        <f t="shared" si="70"/>
        <v/>
      </c>
      <c r="Q384" s="23" t="str">
        <f t="shared" si="71"/>
        <v/>
      </c>
      <c r="R384" s="23" t="str">
        <f t="shared" si="77"/>
        <v/>
      </c>
      <c r="S384" s="23" t="str">
        <f t="shared" si="78"/>
        <v/>
      </c>
      <c r="T384" s="23" t="str">
        <f t="shared" si="79"/>
        <v/>
      </c>
      <c r="U384" s="10"/>
    </row>
    <row r="385" spans="3:21" x14ac:dyDescent="0.25">
      <c r="C385" s="8"/>
      <c r="D385" s="8"/>
      <c r="E385" s="8"/>
      <c r="F385" s="8"/>
      <c r="G385" s="25" t="str">
        <f t="shared" si="72"/>
        <v/>
      </c>
      <c r="H385" s="8"/>
      <c r="I385" s="26" t="str">
        <f t="shared" si="73"/>
        <v/>
      </c>
      <c r="J385" s="8"/>
      <c r="K385" s="26" t="str">
        <f t="shared" si="74"/>
        <v/>
      </c>
      <c r="L385" s="8"/>
      <c r="M385" s="26" t="str">
        <f t="shared" si="75"/>
        <v/>
      </c>
      <c r="N385" s="8"/>
      <c r="O385" s="26" t="str">
        <f t="shared" si="76"/>
        <v/>
      </c>
      <c r="P385" s="23" t="str">
        <f t="shared" si="70"/>
        <v/>
      </c>
      <c r="Q385" s="23" t="str">
        <f t="shared" si="71"/>
        <v/>
      </c>
      <c r="R385" s="23" t="str">
        <f t="shared" si="77"/>
        <v/>
      </c>
      <c r="S385" s="23" t="str">
        <f t="shared" si="78"/>
        <v/>
      </c>
      <c r="T385" s="23" t="str">
        <f t="shared" si="79"/>
        <v/>
      </c>
      <c r="U385" s="10"/>
    </row>
    <row r="386" spans="3:21" x14ac:dyDescent="0.25">
      <c r="C386" s="8"/>
      <c r="D386" s="8"/>
      <c r="E386" s="8"/>
      <c r="F386" s="8"/>
      <c r="G386" s="25" t="str">
        <f t="shared" si="72"/>
        <v/>
      </c>
      <c r="H386" s="8"/>
      <c r="I386" s="26" t="str">
        <f t="shared" si="73"/>
        <v/>
      </c>
      <c r="J386" s="8"/>
      <c r="K386" s="26" t="str">
        <f t="shared" si="74"/>
        <v/>
      </c>
      <c r="L386" s="8"/>
      <c r="M386" s="26" t="str">
        <f t="shared" si="75"/>
        <v/>
      </c>
      <c r="N386" s="8"/>
      <c r="O386" s="26" t="str">
        <f t="shared" si="76"/>
        <v/>
      </c>
      <c r="P386" s="23" t="str">
        <f t="shared" si="70"/>
        <v/>
      </c>
      <c r="Q386" s="23" t="str">
        <f t="shared" si="71"/>
        <v/>
      </c>
      <c r="R386" s="23" t="str">
        <f t="shared" si="77"/>
        <v/>
      </c>
      <c r="S386" s="23" t="str">
        <f t="shared" si="78"/>
        <v/>
      </c>
      <c r="T386" s="23" t="str">
        <f t="shared" si="79"/>
        <v/>
      </c>
      <c r="U386" s="10"/>
    </row>
    <row r="387" spans="3:21" x14ac:dyDescent="0.25">
      <c r="C387" s="8"/>
      <c r="D387" s="8"/>
      <c r="E387" s="8"/>
      <c r="F387" s="8"/>
      <c r="G387" s="25" t="str">
        <f t="shared" si="72"/>
        <v/>
      </c>
      <c r="H387" s="8"/>
      <c r="I387" s="26" t="str">
        <f t="shared" si="73"/>
        <v/>
      </c>
      <c r="J387" s="8"/>
      <c r="K387" s="26" t="str">
        <f t="shared" si="74"/>
        <v/>
      </c>
      <c r="L387" s="8"/>
      <c r="M387" s="26" t="str">
        <f t="shared" si="75"/>
        <v/>
      </c>
      <c r="N387" s="8"/>
      <c r="O387" s="26" t="str">
        <f t="shared" si="76"/>
        <v/>
      </c>
      <c r="P387" s="23" t="str">
        <f t="shared" si="70"/>
        <v/>
      </c>
      <c r="Q387" s="23" t="str">
        <f t="shared" si="71"/>
        <v/>
      </c>
      <c r="R387" s="23" t="str">
        <f t="shared" si="77"/>
        <v/>
      </c>
      <c r="S387" s="23" t="str">
        <f t="shared" si="78"/>
        <v/>
      </c>
      <c r="T387" s="23" t="str">
        <f t="shared" si="79"/>
        <v/>
      </c>
      <c r="U387" s="10"/>
    </row>
    <row r="388" spans="3:21" x14ac:dyDescent="0.25">
      <c r="C388" s="8"/>
      <c r="D388" s="8"/>
      <c r="E388" s="8"/>
      <c r="F388" s="8"/>
      <c r="G388" s="25" t="str">
        <f t="shared" si="72"/>
        <v/>
      </c>
      <c r="H388" s="8"/>
      <c r="I388" s="26" t="str">
        <f t="shared" si="73"/>
        <v/>
      </c>
      <c r="J388" s="8"/>
      <c r="K388" s="26" t="str">
        <f t="shared" si="74"/>
        <v/>
      </c>
      <c r="L388" s="8"/>
      <c r="M388" s="26" t="str">
        <f t="shared" si="75"/>
        <v/>
      </c>
      <c r="N388" s="8"/>
      <c r="O388" s="26" t="str">
        <f t="shared" si="76"/>
        <v/>
      </c>
      <c r="P388" s="23" t="str">
        <f t="shared" ref="P388:P451" si="80">IF(COUNT(F388:O388)=0,"",SUM(F388:O388))</f>
        <v/>
      </c>
      <c r="Q388" s="23" t="str">
        <f t="shared" ref="Q388:Q451" si="81">IF(P388="","",P388/500*12)</f>
        <v/>
      </c>
      <c r="R388" s="23" t="str">
        <f t="shared" si="77"/>
        <v/>
      </c>
      <c r="S388" s="23" t="str">
        <f t="shared" si="78"/>
        <v/>
      </c>
      <c r="T388" s="23" t="str">
        <f t="shared" si="79"/>
        <v/>
      </c>
      <c r="U388" s="10"/>
    </row>
    <row r="389" spans="3:21" x14ac:dyDescent="0.25">
      <c r="C389" s="8"/>
      <c r="D389" s="8"/>
      <c r="E389" s="8"/>
      <c r="F389" s="8"/>
      <c r="G389" s="25" t="str">
        <f t="shared" si="72"/>
        <v/>
      </c>
      <c r="H389" s="8"/>
      <c r="I389" s="26" t="str">
        <f t="shared" si="73"/>
        <v/>
      </c>
      <c r="J389" s="8"/>
      <c r="K389" s="26" t="str">
        <f t="shared" si="74"/>
        <v/>
      </c>
      <c r="L389" s="8"/>
      <c r="M389" s="26" t="str">
        <f t="shared" si="75"/>
        <v/>
      </c>
      <c r="N389" s="8"/>
      <c r="O389" s="26" t="str">
        <f t="shared" si="76"/>
        <v/>
      </c>
      <c r="P389" s="23" t="str">
        <f t="shared" si="80"/>
        <v/>
      </c>
      <c r="Q389" s="23" t="str">
        <f t="shared" si="81"/>
        <v/>
      </c>
      <c r="R389" s="23" t="str">
        <f t="shared" si="77"/>
        <v/>
      </c>
      <c r="S389" s="23" t="str">
        <f t="shared" si="78"/>
        <v/>
      </c>
      <c r="T389" s="23" t="str">
        <f t="shared" si="79"/>
        <v/>
      </c>
      <c r="U389" s="10"/>
    </row>
    <row r="390" spans="3:21" x14ac:dyDescent="0.25">
      <c r="C390" s="8"/>
      <c r="D390" s="8"/>
      <c r="E390" s="8"/>
      <c r="F390" s="8"/>
      <c r="G390" s="25" t="str">
        <f t="shared" si="72"/>
        <v/>
      </c>
      <c r="H390" s="8"/>
      <c r="I390" s="26" t="str">
        <f t="shared" si="73"/>
        <v/>
      </c>
      <c r="J390" s="8"/>
      <c r="K390" s="26" t="str">
        <f t="shared" si="74"/>
        <v/>
      </c>
      <c r="L390" s="8"/>
      <c r="M390" s="26" t="str">
        <f t="shared" si="75"/>
        <v/>
      </c>
      <c r="N390" s="8"/>
      <c r="O390" s="26" t="str">
        <f t="shared" si="76"/>
        <v/>
      </c>
      <c r="P390" s="23" t="str">
        <f t="shared" si="80"/>
        <v/>
      </c>
      <c r="Q390" s="23" t="str">
        <f t="shared" si="81"/>
        <v/>
      </c>
      <c r="R390" s="23" t="str">
        <f t="shared" si="77"/>
        <v/>
      </c>
      <c r="S390" s="23" t="str">
        <f t="shared" si="78"/>
        <v/>
      </c>
      <c r="T390" s="23" t="str">
        <f t="shared" si="79"/>
        <v/>
      </c>
      <c r="U390" s="10"/>
    </row>
    <row r="391" spans="3:21" x14ac:dyDescent="0.25">
      <c r="C391" s="8"/>
      <c r="D391" s="8"/>
      <c r="E391" s="8"/>
      <c r="F391" s="8"/>
      <c r="G391" s="25" t="str">
        <f t="shared" si="72"/>
        <v/>
      </c>
      <c r="H391" s="8"/>
      <c r="I391" s="26" t="str">
        <f t="shared" si="73"/>
        <v/>
      </c>
      <c r="J391" s="8"/>
      <c r="K391" s="26" t="str">
        <f t="shared" si="74"/>
        <v/>
      </c>
      <c r="L391" s="8"/>
      <c r="M391" s="26" t="str">
        <f t="shared" si="75"/>
        <v/>
      </c>
      <c r="N391" s="8"/>
      <c r="O391" s="26" t="str">
        <f t="shared" si="76"/>
        <v/>
      </c>
      <c r="P391" s="23" t="str">
        <f t="shared" si="80"/>
        <v/>
      </c>
      <c r="Q391" s="23" t="str">
        <f t="shared" si="81"/>
        <v/>
      </c>
      <c r="R391" s="23" t="str">
        <f t="shared" si="77"/>
        <v/>
      </c>
      <c r="S391" s="23" t="str">
        <f t="shared" si="78"/>
        <v/>
      </c>
      <c r="T391" s="23" t="str">
        <f t="shared" si="79"/>
        <v/>
      </c>
      <c r="U391" s="10"/>
    </row>
    <row r="392" spans="3:21" x14ac:dyDescent="0.25">
      <c r="C392" s="8"/>
      <c r="D392" s="8"/>
      <c r="E392" s="8"/>
      <c r="F392" s="8"/>
      <c r="G392" s="25" t="str">
        <f t="shared" si="72"/>
        <v/>
      </c>
      <c r="H392" s="8"/>
      <c r="I392" s="26" t="str">
        <f t="shared" si="73"/>
        <v/>
      </c>
      <c r="J392" s="8"/>
      <c r="K392" s="26" t="str">
        <f t="shared" si="74"/>
        <v/>
      </c>
      <c r="L392" s="8"/>
      <c r="M392" s="26" t="str">
        <f t="shared" si="75"/>
        <v/>
      </c>
      <c r="N392" s="8"/>
      <c r="O392" s="26" t="str">
        <f t="shared" si="76"/>
        <v/>
      </c>
      <c r="P392" s="23" t="str">
        <f t="shared" si="80"/>
        <v/>
      </c>
      <c r="Q392" s="23" t="str">
        <f t="shared" si="81"/>
        <v/>
      </c>
      <c r="R392" s="23" t="str">
        <f t="shared" si="77"/>
        <v/>
      </c>
      <c r="S392" s="23" t="str">
        <f t="shared" si="78"/>
        <v/>
      </c>
      <c r="T392" s="23" t="str">
        <f t="shared" si="79"/>
        <v/>
      </c>
      <c r="U392" s="10"/>
    </row>
    <row r="393" spans="3:21" x14ac:dyDescent="0.25">
      <c r="C393" s="8"/>
      <c r="D393" s="8"/>
      <c r="E393" s="8"/>
      <c r="F393" s="8"/>
      <c r="G393" s="25" t="str">
        <f t="shared" si="72"/>
        <v/>
      </c>
      <c r="H393" s="8"/>
      <c r="I393" s="26" t="str">
        <f t="shared" si="73"/>
        <v/>
      </c>
      <c r="J393" s="8"/>
      <c r="K393" s="26" t="str">
        <f t="shared" si="74"/>
        <v/>
      </c>
      <c r="L393" s="8"/>
      <c r="M393" s="26" t="str">
        <f t="shared" si="75"/>
        <v/>
      </c>
      <c r="N393" s="8"/>
      <c r="O393" s="26" t="str">
        <f t="shared" si="76"/>
        <v/>
      </c>
      <c r="P393" s="23" t="str">
        <f t="shared" si="80"/>
        <v/>
      </c>
      <c r="Q393" s="23" t="str">
        <f t="shared" si="81"/>
        <v/>
      </c>
      <c r="R393" s="23" t="str">
        <f t="shared" si="77"/>
        <v/>
      </c>
      <c r="S393" s="23" t="str">
        <f t="shared" si="78"/>
        <v/>
      </c>
      <c r="T393" s="23" t="str">
        <f t="shared" si="79"/>
        <v/>
      </c>
      <c r="U393" s="10"/>
    </row>
    <row r="394" spans="3:21" x14ac:dyDescent="0.25">
      <c r="C394" s="8"/>
      <c r="D394" s="8"/>
      <c r="E394" s="8"/>
      <c r="F394" s="8"/>
      <c r="G394" s="25" t="str">
        <f t="shared" si="72"/>
        <v/>
      </c>
      <c r="H394" s="8"/>
      <c r="I394" s="26" t="str">
        <f t="shared" si="73"/>
        <v/>
      </c>
      <c r="J394" s="8"/>
      <c r="K394" s="26" t="str">
        <f t="shared" si="74"/>
        <v/>
      </c>
      <c r="L394" s="8"/>
      <c r="M394" s="26" t="str">
        <f t="shared" si="75"/>
        <v/>
      </c>
      <c r="N394" s="8"/>
      <c r="O394" s="26" t="str">
        <f t="shared" si="76"/>
        <v/>
      </c>
      <c r="P394" s="23" t="str">
        <f t="shared" si="80"/>
        <v/>
      </c>
      <c r="Q394" s="23" t="str">
        <f t="shared" si="81"/>
        <v/>
      </c>
      <c r="R394" s="23" t="str">
        <f t="shared" si="77"/>
        <v/>
      </c>
      <c r="S394" s="23" t="str">
        <f t="shared" si="78"/>
        <v/>
      </c>
      <c r="T394" s="23" t="str">
        <f t="shared" si="79"/>
        <v/>
      </c>
      <c r="U394" s="10"/>
    </row>
    <row r="395" spans="3:21" x14ac:dyDescent="0.25">
      <c r="C395" s="8"/>
      <c r="D395" s="8"/>
      <c r="E395" s="8"/>
      <c r="F395" s="8"/>
      <c r="G395" s="25" t="str">
        <f t="shared" si="72"/>
        <v/>
      </c>
      <c r="H395" s="8"/>
      <c r="I395" s="26" t="str">
        <f t="shared" si="73"/>
        <v/>
      </c>
      <c r="J395" s="8"/>
      <c r="K395" s="26" t="str">
        <f t="shared" si="74"/>
        <v/>
      </c>
      <c r="L395" s="8"/>
      <c r="M395" s="26" t="str">
        <f t="shared" si="75"/>
        <v/>
      </c>
      <c r="N395" s="8"/>
      <c r="O395" s="26" t="str">
        <f t="shared" si="76"/>
        <v/>
      </c>
      <c r="P395" s="23" t="str">
        <f t="shared" si="80"/>
        <v/>
      </c>
      <c r="Q395" s="23" t="str">
        <f t="shared" si="81"/>
        <v/>
      </c>
      <c r="R395" s="23" t="str">
        <f t="shared" si="77"/>
        <v/>
      </c>
      <c r="S395" s="23" t="str">
        <f t="shared" si="78"/>
        <v/>
      </c>
      <c r="T395" s="23" t="str">
        <f t="shared" si="79"/>
        <v/>
      </c>
      <c r="U395" s="10"/>
    </row>
    <row r="396" spans="3:21" x14ac:dyDescent="0.25">
      <c r="C396" s="8"/>
      <c r="D396" s="8"/>
      <c r="E396" s="8"/>
      <c r="F396" s="8"/>
      <c r="G396" s="25" t="str">
        <f t="shared" si="72"/>
        <v/>
      </c>
      <c r="H396" s="8"/>
      <c r="I396" s="26" t="str">
        <f t="shared" si="73"/>
        <v/>
      </c>
      <c r="J396" s="8"/>
      <c r="K396" s="26" t="str">
        <f t="shared" si="74"/>
        <v/>
      </c>
      <c r="L396" s="8"/>
      <c r="M396" s="26" t="str">
        <f t="shared" si="75"/>
        <v/>
      </c>
      <c r="N396" s="8"/>
      <c r="O396" s="26" t="str">
        <f t="shared" si="76"/>
        <v/>
      </c>
      <c r="P396" s="23" t="str">
        <f t="shared" si="80"/>
        <v/>
      </c>
      <c r="Q396" s="23" t="str">
        <f t="shared" si="81"/>
        <v/>
      </c>
      <c r="R396" s="23" t="str">
        <f t="shared" si="77"/>
        <v/>
      </c>
      <c r="S396" s="23" t="str">
        <f t="shared" si="78"/>
        <v/>
      </c>
      <c r="T396" s="23" t="str">
        <f t="shared" si="79"/>
        <v/>
      </c>
      <c r="U396" s="10"/>
    </row>
    <row r="397" spans="3:21" x14ac:dyDescent="0.25">
      <c r="C397" s="8"/>
      <c r="D397" s="8"/>
      <c r="E397" s="8"/>
      <c r="F397" s="8"/>
      <c r="G397" s="25" t="str">
        <f t="shared" si="72"/>
        <v/>
      </c>
      <c r="H397" s="8"/>
      <c r="I397" s="26" t="str">
        <f t="shared" si="73"/>
        <v/>
      </c>
      <c r="J397" s="8"/>
      <c r="K397" s="26" t="str">
        <f t="shared" si="74"/>
        <v/>
      </c>
      <c r="L397" s="8"/>
      <c r="M397" s="26" t="str">
        <f t="shared" si="75"/>
        <v/>
      </c>
      <c r="N397" s="8"/>
      <c r="O397" s="26" t="str">
        <f t="shared" si="76"/>
        <v/>
      </c>
      <c r="P397" s="23" t="str">
        <f t="shared" si="80"/>
        <v/>
      </c>
      <c r="Q397" s="23" t="str">
        <f t="shared" si="81"/>
        <v/>
      </c>
      <c r="R397" s="23" t="str">
        <f t="shared" si="77"/>
        <v/>
      </c>
      <c r="S397" s="23" t="str">
        <f t="shared" si="78"/>
        <v/>
      </c>
      <c r="T397" s="23" t="str">
        <f t="shared" si="79"/>
        <v/>
      </c>
      <c r="U397" s="10"/>
    </row>
    <row r="398" spans="3:21" x14ac:dyDescent="0.25">
      <c r="C398" s="8"/>
      <c r="D398" s="8"/>
      <c r="E398" s="8"/>
      <c r="F398" s="8"/>
      <c r="G398" s="25" t="str">
        <f t="shared" si="72"/>
        <v/>
      </c>
      <c r="H398" s="8"/>
      <c r="I398" s="26" t="str">
        <f t="shared" si="73"/>
        <v/>
      </c>
      <c r="J398" s="8"/>
      <c r="K398" s="26" t="str">
        <f t="shared" si="74"/>
        <v/>
      </c>
      <c r="L398" s="8"/>
      <c r="M398" s="26" t="str">
        <f t="shared" si="75"/>
        <v/>
      </c>
      <c r="N398" s="8"/>
      <c r="O398" s="26" t="str">
        <f t="shared" si="76"/>
        <v/>
      </c>
      <c r="P398" s="23" t="str">
        <f t="shared" si="80"/>
        <v/>
      </c>
      <c r="Q398" s="23" t="str">
        <f t="shared" si="81"/>
        <v/>
      </c>
      <c r="R398" s="23" t="str">
        <f t="shared" si="77"/>
        <v/>
      </c>
      <c r="S398" s="23" t="str">
        <f t="shared" si="78"/>
        <v/>
      </c>
      <c r="T398" s="23" t="str">
        <f t="shared" si="79"/>
        <v/>
      </c>
      <c r="U398" s="10"/>
    </row>
    <row r="399" spans="3:21" x14ac:dyDescent="0.25">
      <c r="C399" s="8"/>
      <c r="D399" s="8"/>
      <c r="E399" s="8"/>
      <c r="F399" s="8"/>
      <c r="G399" s="25" t="str">
        <f t="shared" si="72"/>
        <v/>
      </c>
      <c r="H399" s="8"/>
      <c r="I399" s="26" t="str">
        <f t="shared" si="73"/>
        <v/>
      </c>
      <c r="J399" s="8"/>
      <c r="K399" s="26" t="str">
        <f t="shared" si="74"/>
        <v/>
      </c>
      <c r="L399" s="8"/>
      <c r="M399" s="26" t="str">
        <f t="shared" si="75"/>
        <v/>
      </c>
      <c r="N399" s="8"/>
      <c r="O399" s="26" t="str">
        <f t="shared" si="76"/>
        <v/>
      </c>
      <c r="P399" s="23" t="str">
        <f t="shared" si="80"/>
        <v/>
      </c>
      <c r="Q399" s="23" t="str">
        <f t="shared" si="81"/>
        <v/>
      </c>
      <c r="R399" s="23" t="str">
        <f t="shared" si="77"/>
        <v/>
      </c>
      <c r="S399" s="23" t="str">
        <f t="shared" si="78"/>
        <v/>
      </c>
      <c r="T399" s="23" t="str">
        <f t="shared" si="79"/>
        <v/>
      </c>
      <c r="U399" s="10"/>
    </row>
    <row r="400" spans="3:21" x14ac:dyDescent="0.25">
      <c r="C400" s="8"/>
      <c r="D400" s="8"/>
      <c r="E400" s="8"/>
      <c r="F400" s="8"/>
      <c r="G400" s="25" t="str">
        <f t="shared" si="72"/>
        <v/>
      </c>
      <c r="H400" s="8"/>
      <c r="I400" s="26" t="str">
        <f t="shared" si="73"/>
        <v/>
      </c>
      <c r="J400" s="8"/>
      <c r="K400" s="26" t="str">
        <f t="shared" si="74"/>
        <v/>
      </c>
      <c r="L400" s="8"/>
      <c r="M400" s="26" t="str">
        <f t="shared" si="75"/>
        <v/>
      </c>
      <c r="N400" s="8"/>
      <c r="O400" s="26" t="str">
        <f t="shared" si="76"/>
        <v/>
      </c>
      <c r="P400" s="23" t="str">
        <f t="shared" si="80"/>
        <v/>
      </c>
      <c r="Q400" s="23" t="str">
        <f t="shared" si="81"/>
        <v/>
      </c>
      <c r="R400" s="23" t="str">
        <f t="shared" si="77"/>
        <v/>
      </c>
      <c r="S400" s="23" t="str">
        <f t="shared" si="78"/>
        <v/>
      </c>
      <c r="T400" s="23" t="str">
        <f t="shared" si="79"/>
        <v/>
      </c>
      <c r="U400" s="10"/>
    </row>
    <row r="401" spans="3:21" x14ac:dyDescent="0.25">
      <c r="C401" s="8"/>
      <c r="D401" s="8"/>
      <c r="E401" s="8"/>
      <c r="F401" s="8"/>
      <c r="G401" s="25" t="str">
        <f t="shared" si="72"/>
        <v/>
      </c>
      <c r="H401" s="8"/>
      <c r="I401" s="26" t="str">
        <f t="shared" si="73"/>
        <v/>
      </c>
      <c r="J401" s="8"/>
      <c r="K401" s="26" t="str">
        <f t="shared" si="74"/>
        <v/>
      </c>
      <c r="L401" s="8"/>
      <c r="M401" s="26" t="str">
        <f t="shared" si="75"/>
        <v/>
      </c>
      <c r="N401" s="8"/>
      <c r="O401" s="26" t="str">
        <f t="shared" si="76"/>
        <v/>
      </c>
      <c r="P401" s="23" t="str">
        <f t="shared" si="80"/>
        <v/>
      </c>
      <c r="Q401" s="23" t="str">
        <f t="shared" si="81"/>
        <v/>
      </c>
      <c r="R401" s="23" t="str">
        <f t="shared" si="77"/>
        <v/>
      </c>
      <c r="S401" s="23" t="str">
        <f t="shared" si="78"/>
        <v/>
      </c>
      <c r="T401" s="23" t="str">
        <f t="shared" si="79"/>
        <v/>
      </c>
      <c r="U401" s="10"/>
    </row>
    <row r="402" spans="3:21" x14ac:dyDescent="0.25">
      <c r="C402" s="8"/>
      <c r="D402" s="8"/>
      <c r="E402" s="8"/>
      <c r="F402" s="8"/>
      <c r="G402" s="25" t="str">
        <f t="shared" si="72"/>
        <v/>
      </c>
      <c r="H402" s="8"/>
      <c r="I402" s="26" t="str">
        <f t="shared" si="73"/>
        <v/>
      </c>
      <c r="J402" s="8"/>
      <c r="K402" s="26" t="str">
        <f t="shared" si="74"/>
        <v/>
      </c>
      <c r="L402" s="8"/>
      <c r="M402" s="26" t="str">
        <f t="shared" si="75"/>
        <v/>
      </c>
      <c r="N402" s="8"/>
      <c r="O402" s="26" t="str">
        <f t="shared" si="76"/>
        <v/>
      </c>
      <c r="P402" s="23" t="str">
        <f t="shared" si="80"/>
        <v/>
      </c>
      <c r="Q402" s="23" t="str">
        <f t="shared" si="81"/>
        <v/>
      </c>
      <c r="R402" s="23" t="str">
        <f t="shared" si="77"/>
        <v/>
      </c>
      <c r="S402" s="23" t="str">
        <f t="shared" si="78"/>
        <v/>
      </c>
      <c r="T402" s="23" t="str">
        <f t="shared" si="79"/>
        <v/>
      </c>
      <c r="U402" s="10"/>
    </row>
    <row r="403" spans="3:21" x14ac:dyDescent="0.25">
      <c r="C403" s="8"/>
      <c r="D403" s="8"/>
      <c r="E403" s="8"/>
      <c r="F403" s="8"/>
      <c r="G403" s="25" t="str">
        <f t="shared" si="72"/>
        <v/>
      </c>
      <c r="H403" s="8"/>
      <c r="I403" s="26" t="str">
        <f t="shared" si="73"/>
        <v/>
      </c>
      <c r="J403" s="8"/>
      <c r="K403" s="26" t="str">
        <f t="shared" si="74"/>
        <v/>
      </c>
      <c r="L403" s="8"/>
      <c r="M403" s="26" t="str">
        <f t="shared" si="75"/>
        <v/>
      </c>
      <c r="N403" s="8"/>
      <c r="O403" s="26" t="str">
        <f t="shared" si="76"/>
        <v/>
      </c>
      <c r="P403" s="23" t="str">
        <f t="shared" si="80"/>
        <v/>
      </c>
      <c r="Q403" s="23" t="str">
        <f t="shared" si="81"/>
        <v/>
      </c>
      <c r="R403" s="23" t="str">
        <f t="shared" si="77"/>
        <v/>
      </c>
      <c r="S403" s="23" t="str">
        <f t="shared" si="78"/>
        <v/>
      </c>
      <c r="T403" s="23" t="str">
        <f t="shared" si="79"/>
        <v/>
      </c>
      <c r="U403" s="10"/>
    </row>
    <row r="404" spans="3:21" x14ac:dyDescent="0.25">
      <c r="C404" s="8"/>
      <c r="D404" s="8"/>
      <c r="E404" s="8"/>
      <c r="F404" s="8"/>
      <c r="G404" s="25" t="str">
        <f t="shared" si="72"/>
        <v/>
      </c>
      <c r="H404" s="8"/>
      <c r="I404" s="26" t="str">
        <f t="shared" si="73"/>
        <v/>
      </c>
      <c r="J404" s="8"/>
      <c r="K404" s="26" t="str">
        <f t="shared" si="74"/>
        <v/>
      </c>
      <c r="L404" s="8"/>
      <c r="M404" s="26" t="str">
        <f t="shared" si="75"/>
        <v/>
      </c>
      <c r="N404" s="8"/>
      <c r="O404" s="26" t="str">
        <f t="shared" si="76"/>
        <v/>
      </c>
      <c r="P404" s="23" t="str">
        <f t="shared" si="80"/>
        <v/>
      </c>
      <c r="Q404" s="23" t="str">
        <f t="shared" si="81"/>
        <v/>
      </c>
      <c r="R404" s="23" t="str">
        <f t="shared" si="77"/>
        <v/>
      </c>
      <c r="S404" s="23" t="str">
        <f t="shared" si="78"/>
        <v/>
      </c>
      <c r="T404" s="23" t="str">
        <f t="shared" si="79"/>
        <v/>
      </c>
      <c r="U404" s="10"/>
    </row>
    <row r="405" spans="3:21" x14ac:dyDescent="0.25">
      <c r="C405" s="8"/>
      <c r="D405" s="8"/>
      <c r="E405" s="8"/>
      <c r="F405" s="8"/>
      <c r="G405" s="25" t="str">
        <f t="shared" si="72"/>
        <v/>
      </c>
      <c r="H405" s="8"/>
      <c r="I405" s="26" t="str">
        <f t="shared" si="73"/>
        <v/>
      </c>
      <c r="J405" s="8"/>
      <c r="K405" s="26" t="str">
        <f t="shared" si="74"/>
        <v/>
      </c>
      <c r="L405" s="8"/>
      <c r="M405" s="26" t="str">
        <f t="shared" si="75"/>
        <v/>
      </c>
      <c r="N405" s="8"/>
      <c r="O405" s="26" t="str">
        <f t="shared" si="76"/>
        <v/>
      </c>
      <c r="P405" s="23" t="str">
        <f t="shared" si="80"/>
        <v/>
      </c>
      <c r="Q405" s="23" t="str">
        <f t="shared" si="81"/>
        <v/>
      </c>
      <c r="R405" s="23" t="str">
        <f t="shared" si="77"/>
        <v/>
      </c>
      <c r="S405" s="23" t="str">
        <f t="shared" si="78"/>
        <v/>
      </c>
      <c r="T405" s="23" t="str">
        <f t="shared" si="79"/>
        <v/>
      </c>
      <c r="U405" s="10"/>
    </row>
    <row r="406" spans="3:21" x14ac:dyDescent="0.25">
      <c r="C406" s="8"/>
      <c r="D406" s="8"/>
      <c r="E406" s="8"/>
      <c r="F406" s="8"/>
      <c r="G406" s="25" t="str">
        <f t="shared" si="72"/>
        <v/>
      </c>
      <c r="H406" s="8"/>
      <c r="I406" s="26" t="str">
        <f t="shared" si="73"/>
        <v/>
      </c>
      <c r="J406" s="8"/>
      <c r="K406" s="26" t="str">
        <f t="shared" si="74"/>
        <v/>
      </c>
      <c r="L406" s="8"/>
      <c r="M406" s="26" t="str">
        <f t="shared" si="75"/>
        <v/>
      </c>
      <c r="N406" s="8"/>
      <c r="O406" s="26" t="str">
        <f t="shared" si="76"/>
        <v/>
      </c>
      <c r="P406" s="23" t="str">
        <f t="shared" si="80"/>
        <v/>
      </c>
      <c r="Q406" s="23" t="str">
        <f t="shared" si="81"/>
        <v/>
      </c>
      <c r="R406" s="23" t="str">
        <f t="shared" si="77"/>
        <v/>
      </c>
      <c r="S406" s="23" t="str">
        <f t="shared" si="78"/>
        <v/>
      </c>
      <c r="T406" s="23" t="str">
        <f t="shared" si="79"/>
        <v/>
      </c>
      <c r="U406" s="10"/>
    </row>
    <row r="407" spans="3:21" x14ac:dyDescent="0.25">
      <c r="C407" s="8"/>
      <c r="D407" s="8"/>
      <c r="E407" s="8"/>
      <c r="F407" s="8"/>
      <c r="G407" s="25" t="str">
        <f t="shared" si="72"/>
        <v/>
      </c>
      <c r="H407" s="8"/>
      <c r="I407" s="26" t="str">
        <f t="shared" si="73"/>
        <v/>
      </c>
      <c r="J407" s="8"/>
      <c r="K407" s="26" t="str">
        <f t="shared" si="74"/>
        <v/>
      </c>
      <c r="L407" s="8"/>
      <c r="M407" s="26" t="str">
        <f t="shared" si="75"/>
        <v/>
      </c>
      <c r="N407" s="8"/>
      <c r="O407" s="26" t="str">
        <f t="shared" si="76"/>
        <v/>
      </c>
      <c r="P407" s="23" t="str">
        <f t="shared" si="80"/>
        <v/>
      </c>
      <c r="Q407" s="23" t="str">
        <f t="shared" si="81"/>
        <v/>
      </c>
      <c r="R407" s="23" t="str">
        <f t="shared" si="77"/>
        <v/>
      </c>
      <c r="S407" s="23" t="str">
        <f t="shared" si="78"/>
        <v/>
      </c>
      <c r="T407" s="23" t="str">
        <f t="shared" si="79"/>
        <v/>
      </c>
      <c r="U407" s="10"/>
    </row>
    <row r="408" spans="3:21" x14ac:dyDescent="0.25">
      <c r="C408" s="8"/>
      <c r="D408" s="8"/>
      <c r="E408" s="8"/>
      <c r="F408" s="8"/>
      <c r="G408" s="25" t="str">
        <f t="shared" si="72"/>
        <v/>
      </c>
      <c r="H408" s="8"/>
      <c r="I408" s="26" t="str">
        <f t="shared" si="73"/>
        <v/>
      </c>
      <c r="J408" s="8"/>
      <c r="K408" s="26" t="str">
        <f t="shared" si="74"/>
        <v/>
      </c>
      <c r="L408" s="8"/>
      <c r="M408" s="26" t="str">
        <f t="shared" si="75"/>
        <v/>
      </c>
      <c r="N408" s="8"/>
      <c r="O408" s="26" t="str">
        <f t="shared" si="76"/>
        <v/>
      </c>
      <c r="P408" s="23" t="str">
        <f t="shared" si="80"/>
        <v/>
      </c>
      <c r="Q408" s="23" t="str">
        <f t="shared" si="81"/>
        <v/>
      </c>
      <c r="R408" s="23" t="str">
        <f t="shared" si="77"/>
        <v/>
      </c>
      <c r="S408" s="23" t="str">
        <f t="shared" si="78"/>
        <v/>
      </c>
      <c r="T408" s="23" t="str">
        <f t="shared" si="79"/>
        <v/>
      </c>
      <c r="U408" s="10"/>
    </row>
    <row r="409" spans="3:21" x14ac:dyDescent="0.25">
      <c r="C409" s="8"/>
      <c r="D409" s="8"/>
      <c r="E409" s="8"/>
      <c r="F409" s="8"/>
      <c r="G409" s="25" t="str">
        <f t="shared" si="72"/>
        <v/>
      </c>
      <c r="H409" s="8"/>
      <c r="I409" s="26" t="str">
        <f t="shared" si="73"/>
        <v/>
      </c>
      <c r="J409" s="8"/>
      <c r="K409" s="26" t="str">
        <f t="shared" si="74"/>
        <v/>
      </c>
      <c r="L409" s="8"/>
      <c r="M409" s="26" t="str">
        <f t="shared" si="75"/>
        <v/>
      </c>
      <c r="N409" s="8"/>
      <c r="O409" s="26" t="str">
        <f t="shared" si="76"/>
        <v/>
      </c>
      <c r="P409" s="23" t="str">
        <f t="shared" si="80"/>
        <v/>
      </c>
      <c r="Q409" s="23" t="str">
        <f t="shared" si="81"/>
        <v/>
      </c>
      <c r="R409" s="23" t="str">
        <f t="shared" si="77"/>
        <v/>
      </c>
      <c r="S409" s="23" t="str">
        <f t="shared" si="78"/>
        <v/>
      </c>
      <c r="T409" s="23" t="str">
        <f t="shared" si="79"/>
        <v/>
      </c>
      <c r="U409" s="10"/>
    </row>
    <row r="410" spans="3:21" x14ac:dyDescent="0.25">
      <c r="C410" s="8"/>
      <c r="D410" s="8"/>
      <c r="E410" s="8"/>
      <c r="F410" s="8"/>
      <c r="G410" s="25" t="str">
        <f t="shared" si="72"/>
        <v/>
      </c>
      <c r="H410" s="8"/>
      <c r="I410" s="26" t="str">
        <f t="shared" si="73"/>
        <v/>
      </c>
      <c r="J410" s="8"/>
      <c r="K410" s="26" t="str">
        <f t="shared" si="74"/>
        <v/>
      </c>
      <c r="L410" s="8"/>
      <c r="M410" s="26" t="str">
        <f t="shared" si="75"/>
        <v/>
      </c>
      <c r="N410" s="8"/>
      <c r="O410" s="26" t="str">
        <f t="shared" si="76"/>
        <v/>
      </c>
      <c r="P410" s="23" t="str">
        <f t="shared" si="80"/>
        <v/>
      </c>
      <c r="Q410" s="23" t="str">
        <f t="shared" si="81"/>
        <v/>
      </c>
      <c r="R410" s="23" t="str">
        <f t="shared" si="77"/>
        <v/>
      </c>
      <c r="S410" s="23" t="str">
        <f t="shared" si="78"/>
        <v/>
      </c>
      <c r="T410" s="23" t="str">
        <f t="shared" si="79"/>
        <v/>
      </c>
      <c r="U410" s="10"/>
    </row>
    <row r="411" spans="3:21" x14ac:dyDescent="0.25">
      <c r="C411" s="8"/>
      <c r="D411" s="8"/>
      <c r="E411" s="8"/>
      <c r="F411" s="8"/>
      <c r="G411" s="25" t="str">
        <f t="shared" si="72"/>
        <v/>
      </c>
      <c r="H411" s="8"/>
      <c r="I411" s="26" t="str">
        <f t="shared" si="73"/>
        <v/>
      </c>
      <c r="J411" s="8"/>
      <c r="K411" s="26" t="str">
        <f t="shared" si="74"/>
        <v/>
      </c>
      <c r="L411" s="8"/>
      <c r="M411" s="26" t="str">
        <f t="shared" si="75"/>
        <v/>
      </c>
      <c r="N411" s="8"/>
      <c r="O411" s="26" t="str">
        <f t="shared" si="76"/>
        <v/>
      </c>
      <c r="P411" s="23" t="str">
        <f t="shared" si="80"/>
        <v/>
      </c>
      <c r="Q411" s="23" t="str">
        <f t="shared" si="81"/>
        <v/>
      </c>
      <c r="R411" s="23" t="str">
        <f t="shared" si="77"/>
        <v/>
      </c>
      <c r="S411" s="23" t="str">
        <f t="shared" si="78"/>
        <v/>
      </c>
      <c r="T411" s="23" t="str">
        <f t="shared" si="79"/>
        <v/>
      </c>
      <c r="U411" s="10"/>
    </row>
    <row r="412" spans="3:21" x14ac:dyDescent="0.25">
      <c r="C412" s="8"/>
      <c r="D412" s="8"/>
      <c r="E412" s="8"/>
      <c r="F412" s="8"/>
      <c r="G412" s="25" t="str">
        <f t="shared" si="72"/>
        <v/>
      </c>
      <c r="H412" s="8"/>
      <c r="I412" s="26" t="str">
        <f t="shared" si="73"/>
        <v/>
      </c>
      <c r="J412" s="8"/>
      <c r="K412" s="26" t="str">
        <f t="shared" si="74"/>
        <v/>
      </c>
      <c r="L412" s="8"/>
      <c r="M412" s="26" t="str">
        <f t="shared" si="75"/>
        <v/>
      </c>
      <c r="N412" s="8"/>
      <c r="O412" s="26" t="str">
        <f t="shared" si="76"/>
        <v/>
      </c>
      <c r="P412" s="23" t="str">
        <f t="shared" si="80"/>
        <v/>
      </c>
      <c r="Q412" s="23" t="str">
        <f t="shared" si="81"/>
        <v/>
      </c>
      <c r="R412" s="23" t="str">
        <f t="shared" si="77"/>
        <v/>
      </c>
      <c r="S412" s="23" t="str">
        <f t="shared" si="78"/>
        <v/>
      </c>
      <c r="T412" s="23" t="str">
        <f t="shared" si="79"/>
        <v/>
      </c>
      <c r="U412" s="10"/>
    </row>
    <row r="413" spans="3:21" x14ac:dyDescent="0.25">
      <c r="C413" s="8"/>
      <c r="D413" s="8"/>
      <c r="E413" s="8"/>
      <c r="F413" s="8"/>
      <c r="G413" s="25" t="str">
        <f t="shared" si="72"/>
        <v/>
      </c>
      <c r="H413" s="8"/>
      <c r="I413" s="26" t="str">
        <f t="shared" si="73"/>
        <v/>
      </c>
      <c r="J413" s="8"/>
      <c r="K413" s="26" t="str">
        <f t="shared" si="74"/>
        <v/>
      </c>
      <c r="L413" s="8"/>
      <c r="M413" s="26" t="str">
        <f t="shared" si="75"/>
        <v/>
      </c>
      <c r="N413" s="8"/>
      <c r="O413" s="26" t="str">
        <f t="shared" si="76"/>
        <v/>
      </c>
      <c r="P413" s="23" t="str">
        <f t="shared" si="80"/>
        <v/>
      </c>
      <c r="Q413" s="23" t="str">
        <f t="shared" si="81"/>
        <v/>
      </c>
      <c r="R413" s="23" t="str">
        <f t="shared" si="77"/>
        <v/>
      </c>
      <c r="S413" s="23" t="str">
        <f t="shared" si="78"/>
        <v/>
      </c>
      <c r="T413" s="23" t="str">
        <f t="shared" si="79"/>
        <v/>
      </c>
      <c r="U413" s="10"/>
    </row>
    <row r="414" spans="3:21" x14ac:dyDescent="0.25">
      <c r="C414" s="8"/>
      <c r="D414" s="8"/>
      <c r="E414" s="8"/>
      <c r="F414" s="8"/>
      <c r="G414" s="25" t="str">
        <f t="shared" si="72"/>
        <v/>
      </c>
      <c r="H414" s="8"/>
      <c r="I414" s="26" t="str">
        <f t="shared" si="73"/>
        <v/>
      </c>
      <c r="J414" s="8"/>
      <c r="K414" s="26" t="str">
        <f t="shared" si="74"/>
        <v/>
      </c>
      <c r="L414" s="8"/>
      <c r="M414" s="26" t="str">
        <f t="shared" si="75"/>
        <v/>
      </c>
      <c r="N414" s="8"/>
      <c r="O414" s="26" t="str">
        <f t="shared" si="76"/>
        <v/>
      </c>
      <c r="P414" s="23" t="str">
        <f t="shared" si="80"/>
        <v/>
      </c>
      <c r="Q414" s="23" t="str">
        <f t="shared" si="81"/>
        <v/>
      </c>
      <c r="R414" s="23" t="str">
        <f t="shared" si="77"/>
        <v/>
      </c>
      <c r="S414" s="23" t="str">
        <f t="shared" si="78"/>
        <v/>
      </c>
      <c r="T414" s="23" t="str">
        <f t="shared" si="79"/>
        <v/>
      </c>
      <c r="U414" s="10"/>
    </row>
    <row r="415" spans="3:21" x14ac:dyDescent="0.25">
      <c r="C415" s="8"/>
      <c r="D415" s="8"/>
      <c r="E415" s="8"/>
      <c r="F415" s="8"/>
      <c r="G415" s="25" t="str">
        <f t="shared" ref="G415:G478" si="82">IF(F415="","",VLOOKUP(F415,$Y$4:$Z$15,2,TRUE))</f>
        <v/>
      </c>
      <c r="H415" s="8"/>
      <c r="I415" s="26" t="str">
        <f t="shared" ref="I415:I478" si="83">IF(H415="","",VLOOKUP(H415,$Y$4:$Z$15,2,TRUE))</f>
        <v/>
      </c>
      <c r="J415" s="8"/>
      <c r="K415" s="26" t="str">
        <f t="shared" ref="K415:K478" si="84">IF(J415="","",VLOOKUP(J415,$Y$4:$Z$15,2,TRUE))</f>
        <v/>
      </c>
      <c r="L415" s="8"/>
      <c r="M415" s="26" t="str">
        <f t="shared" ref="M415:M478" si="85">IF(L415="","",VLOOKUP(L415,$Y$4:$Z$15,2,TRUE))</f>
        <v/>
      </c>
      <c r="N415" s="8"/>
      <c r="O415" s="26" t="str">
        <f t="shared" ref="O415:O478" si="86">IF(N415="","",VLOOKUP(N415,$Y$4:$Z$15,2,TRUE))</f>
        <v/>
      </c>
      <c r="P415" s="23" t="str">
        <f t="shared" si="80"/>
        <v/>
      </c>
      <c r="Q415" s="23" t="str">
        <f t="shared" si="81"/>
        <v/>
      </c>
      <c r="R415" s="23" t="str">
        <f t="shared" ref="R415:R478" si="87">IF(Q415="","",VLOOKUP(Q415,$W$4:$X$15,2,TRUE))</f>
        <v/>
      </c>
      <c r="S415" s="23" t="str">
        <f t="shared" ref="S415:S478" si="88">IF(P415="","",RANK(P415,$P$5:$P$998,0))</f>
        <v/>
      </c>
      <c r="T415" s="23" t="str">
        <f t="shared" ref="T415:T478" si="89">IFERROR(VLOOKUP(R415,$AA$4:$AB$15,2,FALSE),"")</f>
        <v/>
      </c>
      <c r="U415" s="10"/>
    </row>
    <row r="416" spans="3:21" x14ac:dyDescent="0.25">
      <c r="C416" s="8"/>
      <c r="D416" s="8"/>
      <c r="E416" s="8"/>
      <c r="F416" s="8"/>
      <c r="G416" s="25" t="str">
        <f t="shared" si="82"/>
        <v/>
      </c>
      <c r="H416" s="8"/>
      <c r="I416" s="26" t="str">
        <f t="shared" si="83"/>
        <v/>
      </c>
      <c r="J416" s="8"/>
      <c r="K416" s="26" t="str">
        <f t="shared" si="84"/>
        <v/>
      </c>
      <c r="L416" s="8"/>
      <c r="M416" s="26" t="str">
        <f t="shared" si="85"/>
        <v/>
      </c>
      <c r="N416" s="8"/>
      <c r="O416" s="26" t="str">
        <f t="shared" si="86"/>
        <v/>
      </c>
      <c r="P416" s="23" t="str">
        <f t="shared" si="80"/>
        <v/>
      </c>
      <c r="Q416" s="23" t="str">
        <f t="shared" si="81"/>
        <v/>
      </c>
      <c r="R416" s="23" t="str">
        <f t="shared" si="87"/>
        <v/>
      </c>
      <c r="S416" s="23" t="str">
        <f t="shared" si="88"/>
        <v/>
      </c>
      <c r="T416" s="23" t="str">
        <f t="shared" si="89"/>
        <v/>
      </c>
      <c r="U416" s="10"/>
    </row>
    <row r="417" spans="3:21" x14ac:dyDescent="0.25">
      <c r="C417" s="8"/>
      <c r="D417" s="8"/>
      <c r="E417" s="8"/>
      <c r="F417" s="8"/>
      <c r="G417" s="25" t="str">
        <f t="shared" si="82"/>
        <v/>
      </c>
      <c r="H417" s="8"/>
      <c r="I417" s="26" t="str">
        <f t="shared" si="83"/>
        <v/>
      </c>
      <c r="J417" s="8"/>
      <c r="K417" s="26" t="str">
        <f t="shared" si="84"/>
        <v/>
      </c>
      <c r="L417" s="8"/>
      <c r="M417" s="26" t="str">
        <f t="shared" si="85"/>
        <v/>
      </c>
      <c r="N417" s="8"/>
      <c r="O417" s="26" t="str">
        <f t="shared" si="86"/>
        <v/>
      </c>
      <c r="P417" s="23" t="str">
        <f t="shared" si="80"/>
        <v/>
      </c>
      <c r="Q417" s="23" t="str">
        <f t="shared" si="81"/>
        <v/>
      </c>
      <c r="R417" s="23" t="str">
        <f t="shared" si="87"/>
        <v/>
      </c>
      <c r="S417" s="23" t="str">
        <f t="shared" si="88"/>
        <v/>
      </c>
      <c r="T417" s="23" t="str">
        <f t="shared" si="89"/>
        <v/>
      </c>
      <c r="U417" s="10"/>
    </row>
    <row r="418" spans="3:21" x14ac:dyDescent="0.25">
      <c r="C418" s="8"/>
      <c r="D418" s="8"/>
      <c r="E418" s="8"/>
      <c r="F418" s="8"/>
      <c r="G418" s="25" t="str">
        <f t="shared" si="82"/>
        <v/>
      </c>
      <c r="H418" s="8"/>
      <c r="I418" s="26" t="str">
        <f t="shared" si="83"/>
        <v/>
      </c>
      <c r="J418" s="8"/>
      <c r="K418" s="26" t="str">
        <f t="shared" si="84"/>
        <v/>
      </c>
      <c r="L418" s="8"/>
      <c r="M418" s="26" t="str">
        <f t="shared" si="85"/>
        <v/>
      </c>
      <c r="N418" s="8"/>
      <c r="O418" s="26" t="str">
        <f t="shared" si="86"/>
        <v/>
      </c>
      <c r="P418" s="23" t="str">
        <f t="shared" si="80"/>
        <v/>
      </c>
      <c r="Q418" s="23" t="str">
        <f t="shared" si="81"/>
        <v/>
      </c>
      <c r="R418" s="23" t="str">
        <f t="shared" si="87"/>
        <v/>
      </c>
      <c r="S418" s="23" t="str">
        <f t="shared" si="88"/>
        <v/>
      </c>
      <c r="T418" s="23" t="str">
        <f t="shared" si="89"/>
        <v/>
      </c>
      <c r="U418" s="10"/>
    </row>
    <row r="419" spans="3:21" x14ac:dyDescent="0.25">
      <c r="C419" s="8"/>
      <c r="D419" s="8"/>
      <c r="E419" s="8"/>
      <c r="F419" s="8"/>
      <c r="G419" s="25" t="str">
        <f t="shared" si="82"/>
        <v/>
      </c>
      <c r="H419" s="8"/>
      <c r="I419" s="26" t="str">
        <f t="shared" si="83"/>
        <v/>
      </c>
      <c r="J419" s="8"/>
      <c r="K419" s="26" t="str">
        <f t="shared" si="84"/>
        <v/>
      </c>
      <c r="L419" s="8"/>
      <c r="M419" s="26" t="str">
        <f t="shared" si="85"/>
        <v/>
      </c>
      <c r="N419" s="8"/>
      <c r="O419" s="26" t="str">
        <f t="shared" si="86"/>
        <v/>
      </c>
      <c r="P419" s="23" t="str">
        <f t="shared" si="80"/>
        <v/>
      </c>
      <c r="Q419" s="23" t="str">
        <f t="shared" si="81"/>
        <v/>
      </c>
      <c r="R419" s="23" t="str">
        <f t="shared" si="87"/>
        <v/>
      </c>
      <c r="S419" s="23" t="str">
        <f t="shared" si="88"/>
        <v/>
      </c>
      <c r="T419" s="23" t="str">
        <f t="shared" si="89"/>
        <v/>
      </c>
      <c r="U419" s="10"/>
    </row>
    <row r="420" spans="3:21" x14ac:dyDescent="0.25">
      <c r="C420" s="8"/>
      <c r="D420" s="8"/>
      <c r="E420" s="8"/>
      <c r="F420" s="8"/>
      <c r="G420" s="25" t="str">
        <f t="shared" si="82"/>
        <v/>
      </c>
      <c r="H420" s="8"/>
      <c r="I420" s="26" t="str">
        <f t="shared" si="83"/>
        <v/>
      </c>
      <c r="J420" s="8"/>
      <c r="K420" s="26" t="str">
        <f t="shared" si="84"/>
        <v/>
      </c>
      <c r="L420" s="8"/>
      <c r="M420" s="26" t="str">
        <f t="shared" si="85"/>
        <v/>
      </c>
      <c r="N420" s="8"/>
      <c r="O420" s="26" t="str">
        <f t="shared" si="86"/>
        <v/>
      </c>
      <c r="P420" s="23" t="str">
        <f t="shared" si="80"/>
        <v/>
      </c>
      <c r="Q420" s="23" t="str">
        <f t="shared" si="81"/>
        <v/>
      </c>
      <c r="R420" s="23" t="str">
        <f t="shared" si="87"/>
        <v/>
      </c>
      <c r="S420" s="23" t="str">
        <f t="shared" si="88"/>
        <v/>
      </c>
      <c r="T420" s="23" t="str">
        <f t="shared" si="89"/>
        <v/>
      </c>
      <c r="U420" s="10"/>
    </row>
    <row r="421" spans="3:21" x14ac:dyDescent="0.25">
      <c r="C421" s="8"/>
      <c r="D421" s="8"/>
      <c r="E421" s="8"/>
      <c r="F421" s="8"/>
      <c r="G421" s="25" t="str">
        <f t="shared" si="82"/>
        <v/>
      </c>
      <c r="H421" s="8"/>
      <c r="I421" s="26" t="str">
        <f t="shared" si="83"/>
        <v/>
      </c>
      <c r="J421" s="8"/>
      <c r="K421" s="26" t="str">
        <f t="shared" si="84"/>
        <v/>
      </c>
      <c r="L421" s="8"/>
      <c r="M421" s="26" t="str">
        <f t="shared" si="85"/>
        <v/>
      </c>
      <c r="N421" s="8"/>
      <c r="O421" s="26" t="str">
        <f t="shared" si="86"/>
        <v/>
      </c>
      <c r="P421" s="23" t="str">
        <f t="shared" si="80"/>
        <v/>
      </c>
      <c r="Q421" s="23" t="str">
        <f t="shared" si="81"/>
        <v/>
      </c>
      <c r="R421" s="23" t="str">
        <f t="shared" si="87"/>
        <v/>
      </c>
      <c r="S421" s="23" t="str">
        <f t="shared" si="88"/>
        <v/>
      </c>
      <c r="T421" s="23" t="str">
        <f t="shared" si="89"/>
        <v/>
      </c>
      <c r="U421" s="10"/>
    </row>
    <row r="422" spans="3:21" x14ac:dyDescent="0.25">
      <c r="C422" s="8"/>
      <c r="D422" s="8"/>
      <c r="E422" s="8"/>
      <c r="F422" s="8"/>
      <c r="G422" s="25" t="str">
        <f t="shared" si="82"/>
        <v/>
      </c>
      <c r="H422" s="8"/>
      <c r="I422" s="26" t="str">
        <f t="shared" si="83"/>
        <v/>
      </c>
      <c r="J422" s="8"/>
      <c r="K422" s="26" t="str">
        <f t="shared" si="84"/>
        <v/>
      </c>
      <c r="L422" s="8"/>
      <c r="M422" s="26" t="str">
        <f t="shared" si="85"/>
        <v/>
      </c>
      <c r="N422" s="8"/>
      <c r="O422" s="26" t="str">
        <f t="shared" si="86"/>
        <v/>
      </c>
      <c r="P422" s="23" t="str">
        <f t="shared" si="80"/>
        <v/>
      </c>
      <c r="Q422" s="23" t="str">
        <f t="shared" si="81"/>
        <v/>
      </c>
      <c r="R422" s="23" t="str">
        <f t="shared" si="87"/>
        <v/>
      </c>
      <c r="S422" s="23" t="str">
        <f t="shared" si="88"/>
        <v/>
      </c>
      <c r="T422" s="23" t="str">
        <f t="shared" si="89"/>
        <v/>
      </c>
      <c r="U422" s="10"/>
    </row>
    <row r="423" spans="3:21" x14ac:dyDescent="0.25">
      <c r="C423" s="8"/>
      <c r="D423" s="8"/>
      <c r="E423" s="8"/>
      <c r="F423" s="8"/>
      <c r="G423" s="25" t="str">
        <f t="shared" si="82"/>
        <v/>
      </c>
      <c r="H423" s="8"/>
      <c r="I423" s="26" t="str">
        <f t="shared" si="83"/>
        <v/>
      </c>
      <c r="J423" s="8"/>
      <c r="K423" s="26" t="str">
        <f t="shared" si="84"/>
        <v/>
      </c>
      <c r="L423" s="8"/>
      <c r="M423" s="26" t="str">
        <f t="shared" si="85"/>
        <v/>
      </c>
      <c r="N423" s="8"/>
      <c r="O423" s="26" t="str">
        <f t="shared" si="86"/>
        <v/>
      </c>
      <c r="P423" s="23" t="str">
        <f t="shared" si="80"/>
        <v/>
      </c>
      <c r="Q423" s="23" t="str">
        <f t="shared" si="81"/>
        <v/>
      </c>
      <c r="R423" s="23" t="str">
        <f t="shared" si="87"/>
        <v/>
      </c>
      <c r="S423" s="23" t="str">
        <f t="shared" si="88"/>
        <v/>
      </c>
      <c r="T423" s="23" t="str">
        <f t="shared" si="89"/>
        <v/>
      </c>
      <c r="U423" s="10"/>
    </row>
    <row r="424" spans="3:21" x14ac:dyDescent="0.25">
      <c r="C424" s="8"/>
      <c r="D424" s="8"/>
      <c r="E424" s="8"/>
      <c r="F424" s="8"/>
      <c r="G424" s="25" t="str">
        <f t="shared" si="82"/>
        <v/>
      </c>
      <c r="H424" s="8"/>
      <c r="I424" s="26" t="str">
        <f t="shared" si="83"/>
        <v/>
      </c>
      <c r="J424" s="8"/>
      <c r="K424" s="26" t="str">
        <f t="shared" si="84"/>
        <v/>
      </c>
      <c r="L424" s="8"/>
      <c r="M424" s="26" t="str">
        <f t="shared" si="85"/>
        <v/>
      </c>
      <c r="N424" s="8"/>
      <c r="O424" s="26" t="str">
        <f t="shared" si="86"/>
        <v/>
      </c>
      <c r="P424" s="23" t="str">
        <f t="shared" si="80"/>
        <v/>
      </c>
      <c r="Q424" s="23" t="str">
        <f t="shared" si="81"/>
        <v/>
      </c>
      <c r="R424" s="23" t="str">
        <f t="shared" si="87"/>
        <v/>
      </c>
      <c r="S424" s="23" t="str">
        <f t="shared" si="88"/>
        <v/>
      </c>
      <c r="T424" s="23" t="str">
        <f t="shared" si="89"/>
        <v/>
      </c>
      <c r="U424" s="10"/>
    </row>
    <row r="425" spans="3:21" x14ac:dyDescent="0.25">
      <c r="C425" s="8"/>
      <c r="D425" s="8"/>
      <c r="E425" s="8"/>
      <c r="F425" s="8"/>
      <c r="G425" s="25" t="str">
        <f t="shared" si="82"/>
        <v/>
      </c>
      <c r="H425" s="8"/>
      <c r="I425" s="26" t="str">
        <f t="shared" si="83"/>
        <v/>
      </c>
      <c r="J425" s="8"/>
      <c r="K425" s="26" t="str">
        <f t="shared" si="84"/>
        <v/>
      </c>
      <c r="L425" s="8"/>
      <c r="M425" s="26" t="str">
        <f t="shared" si="85"/>
        <v/>
      </c>
      <c r="N425" s="8"/>
      <c r="O425" s="26" t="str">
        <f t="shared" si="86"/>
        <v/>
      </c>
      <c r="P425" s="23" t="str">
        <f t="shared" si="80"/>
        <v/>
      </c>
      <c r="Q425" s="23" t="str">
        <f t="shared" si="81"/>
        <v/>
      </c>
      <c r="R425" s="23" t="str">
        <f t="shared" si="87"/>
        <v/>
      </c>
      <c r="S425" s="23" t="str">
        <f t="shared" si="88"/>
        <v/>
      </c>
      <c r="T425" s="23" t="str">
        <f t="shared" si="89"/>
        <v/>
      </c>
      <c r="U425" s="10"/>
    </row>
    <row r="426" spans="3:21" x14ac:dyDescent="0.25">
      <c r="C426" s="8"/>
      <c r="D426" s="8"/>
      <c r="E426" s="8"/>
      <c r="F426" s="8"/>
      <c r="G426" s="25" t="str">
        <f t="shared" si="82"/>
        <v/>
      </c>
      <c r="H426" s="8"/>
      <c r="I426" s="26" t="str">
        <f t="shared" si="83"/>
        <v/>
      </c>
      <c r="J426" s="8"/>
      <c r="K426" s="26" t="str">
        <f t="shared" si="84"/>
        <v/>
      </c>
      <c r="L426" s="8"/>
      <c r="M426" s="26" t="str">
        <f t="shared" si="85"/>
        <v/>
      </c>
      <c r="N426" s="8"/>
      <c r="O426" s="26" t="str">
        <f t="shared" si="86"/>
        <v/>
      </c>
      <c r="P426" s="23" t="str">
        <f t="shared" si="80"/>
        <v/>
      </c>
      <c r="Q426" s="23" t="str">
        <f t="shared" si="81"/>
        <v/>
      </c>
      <c r="R426" s="23" t="str">
        <f t="shared" si="87"/>
        <v/>
      </c>
      <c r="S426" s="23" t="str">
        <f t="shared" si="88"/>
        <v/>
      </c>
      <c r="T426" s="23" t="str">
        <f t="shared" si="89"/>
        <v/>
      </c>
      <c r="U426" s="10"/>
    </row>
    <row r="427" spans="3:21" x14ac:dyDescent="0.25">
      <c r="C427" s="8"/>
      <c r="D427" s="8"/>
      <c r="E427" s="8"/>
      <c r="F427" s="8"/>
      <c r="G427" s="25" t="str">
        <f t="shared" si="82"/>
        <v/>
      </c>
      <c r="H427" s="8"/>
      <c r="I427" s="26" t="str">
        <f t="shared" si="83"/>
        <v/>
      </c>
      <c r="J427" s="8"/>
      <c r="K427" s="26" t="str">
        <f t="shared" si="84"/>
        <v/>
      </c>
      <c r="L427" s="8"/>
      <c r="M427" s="26" t="str">
        <f t="shared" si="85"/>
        <v/>
      </c>
      <c r="N427" s="8"/>
      <c r="O427" s="26" t="str">
        <f t="shared" si="86"/>
        <v/>
      </c>
      <c r="P427" s="23" t="str">
        <f t="shared" si="80"/>
        <v/>
      </c>
      <c r="Q427" s="23" t="str">
        <f t="shared" si="81"/>
        <v/>
      </c>
      <c r="R427" s="23" t="str">
        <f t="shared" si="87"/>
        <v/>
      </c>
      <c r="S427" s="23" t="str">
        <f t="shared" si="88"/>
        <v/>
      </c>
      <c r="T427" s="23" t="str">
        <f t="shared" si="89"/>
        <v/>
      </c>
      <c r="U427" s="10"/>
    </row>
    <row r="428" spans="3:21" x14ac:dyDescent="0.25">
      <c r="C428" s="8"/>
      <c r="D428" s="8"/>
      <c r="E428" s="8"/>
      <c r="F428" s="8"/>
      <c r="G428" s="25" t="str">
        <f t="shared" si="82"/>
        <v/>
      </c>
      <c r="H428" s="8"/>
      <c r="I428" s="26" t="str">
        <f t="shared" si="83"/>
        <v/>
      </c>
      <c r="J428" s="8"/>
      <c r="K428" s="26" t="str">
        <f t="shared" si="84"/>
        <v/>
      </c>
      <c r="L428" s="8"/>
      <c r="M428" s="26" t="str">
        <f t="shared" si="85"/>
        <v/>
      </c>
      <c r="N428" s="8"/>
      <c r="O428" s="26" t="str">
        <f t="shared" si="86"/>
        <v/>
      </c>
      <c r="P428" s="23" t="str">
        <f t="shared" si="80"/>
        <v/>
      </c>
      <c r="Q428" s="23" t="str">
        <f t="shared" si="81"/>
        <v/>
      </c>
      <c r="R428" s="23" t="str">
        <f t="shared" si="87"/>
        <v/>
      </c>
      <c r="S428" s="23" t="str">
        <f t="shared" si="88"/>
        <v/>
      </c>
      <c r="T428" s="23" t="str">
        <f t="shared" si="89"/>
        <v/>
      </c>
      <c r="U428" s="10"/>
    </row>
    <row r="429" spans="3:21" x14ac:dyDescent="0.25">
      <c r="C429" s="8"/>
      <c r="D429" s="8"/>
      <c r="E429" s="8"/>
      <c r="F429" s="8"/>
      <c r="G429" s="25" t="str">
        <f t="shared" si="82"/>
        <v/>
      </c>
      <c r="H429" s="8"/>
      <c r="I429" s="26" t="str">
        <f t="shared" si="83"/>
        <v/>
      </c>
      <c r="J429" s="8"/>
      <c r="K429" s="26" t="str">
        <f t="shared" si="84"/>
        <v/>
      </c>
      <c r="L429" s="8"/>
      <c r="M429" s="26" t="str">
        <f t="shared" si="85"/>
        <v/>
      </c>
      <c r="N429" s="8"/>
      <c r="O429" s="26" t="str">
        <f t="shared" si="86"/>
        <v/>
      </c>
      <c r="P429" s="23" t="str">
        <f t="shared" si="80"/>
        <v/>
      </c>
      <c r="Q429" s="23" t="str">
        <f t="shared" si="81"/>
        <v/>
      </c>
      <c r="R429" s="23" t="str">
        <f t="shared" si="87"/>
        <v/>
      </c>
      <c r="S429" s="23" t="str">
        <f t="shared" si="88"/>
        <v/>
      </c>
      <c r="T429" s="23" t="str">
        <f t="shared" si="89"/>
        <v/>
      </c>
      <c r="U429" s="10"/>
    </row>
    <row r="430" spans="3:21" x14ac:dyDescent="0.25">
      <c r="C430" s="8"/>
      <c r="D430" s="8"/>
      <c r="E430" s="8"/>
      <c r="F430" s="8"/>
      <c r="G430" s="25" t="str">
        <f t="shared" si="82"/>
        <v/>
      </c>
      <c r="H430" s="8"/>
      <c r="I430" s="26" t="str">
        <f t="shared" si="83"/>
        <v/>
      </c>
      <c r="J430" s="8"/>
      <c r="K430" s="26" t="str">
        <f t="shared" si="84"/>
        <v/>
      </c>
      <c r="L430" s="8"/>
      <c r="M430" s="26" t="str">
        <f t="shared" si="85"/>
        <v/>
      </c>
      <c r="N430" s="8"/>
      <c r="O430" s="26" t="str">
        <f t="shared" si="86"/>
        <v/>
      </c>
      <c r="P430" s="23" t="str">
        <f t="shared" si="80"/>
        <v/>
      </c>
      <c r="Q430" s="23" t="str">
        <f t="shared" si="81"/>
        <v/>
      </c>
      <c r="R430" s="23" t="str">
        <f t="shared" si="87"/>
        <v/>
      </c>
      <c r="S430" s="23" t="str">
        <f t="shared" si="88"/>
        <v/>
      </c>
      <c r="T430" s="23" t="str">
        <f t="shared" si="89"/>
        <v/>
      </c>
      <c r="U430" s="10"/>
    </row>
    <row r="431" spans="3:21" x14ac:dyDescent="0.25">
      <c r="C431" s="8"/>
      <c r="D431" s="8"/>
      <c r="E431" s="8"/>
      <c r="F431" s="8"/>
      <c r="G431" s="25" t="str">
        <f t="shared" si="82"/>
        <v/>
      </c>
      <c r="H431" s="8"/>
      <c r="I431" s="26" t="str">
        <f t="shared" si="83"/>
        <v/>
      </c>
      <c r="J431" s="8"/>
      <c r="K431" s="26" t="str">
        <f t="shared" si="84"/>
        <v/>
      </c>
      <c r="L431" s="8"/>
      <c r="M431" s="26" t="str">
        <f t="shared" si="85"/>
        <v/>
      </c>
      <c r="N431" s="8"/>
      <c r="O431" s="26" t="str">
        <f t="shared" si="86"/>
        <v/>
      </c>
      <c r="P431" s="23" t="str">
        <f t="shared" si="80"/>
        <v/>
      </c>
      <c r="Q431" s="23" t="str">
        <f t="shared" si="81"/>
        <v/>
      </c>
      <c r="R431" s="23" t="str">
        <f t="shared" si="87"/>
        <v/>
      </c>
      <c r="S431" s="23" t="str">
        <f t="shared" si="88"/>
        <v/>
      </c>
      <c r="T431" s="23" t="str">
        <f t="shared" si="89"/>
        <v/>
      </c>
      <c r="U431" s="10"/>
    </row>
    <row r="432" spans="3:21" x14ac:dyDescent="0.25">
      <c r="C432" s="8"/>
      <c r="D432" s="8"/>
      <c r="E432" s="8"/>
      <c r="F432" s="8"/>
      <c r="G432" s="25" t="str">
        <f t="shared" si="82"/>
        <v/>
      </c>
      <c r="H432" s="8"/>
      <c r="I432" s="26" t="str">
        <f t="shared" si="83"/>
        <v/>
      </c>
      <c r="J432" s="8"/>
      <c r="K432" s="26" t="str">
        <f t="shared" si="84"/>
        <v/>
      </c>
      <c r="L432" s="8"/>
      <c r="M432" s="26" t="str">
        <f t="shared" si="85"/>
        <v/>
      </c>
      <c r="N432" s="8"/>
      <c r="O432" s="26" t="str">
        <f t="shared" si="86"/>
        <v/>
      </c>
      <c r="P432" s="23" t="str">
        <f t="shared" si="80"/>
        <v/>
      </c>
      <c r="Q432" s="23" t="str">
        <f t="shared" si="81"/>
        <v/>
      </c>
      <c r="R432" s="23" t="str">
        <f t="shared" si="87"/>
        <v/>
      </c>
      <c r="S432" s="23" t="str">
        <f t="shared" si="88"/>
        <v/>
      </c>
      <c r="T432" s="23" t="str">
        <f t="shared" si="89"/>
        <v/>
      </c>
      <c r="U432" s="10"/>
    </row>
    <row r="433" spans="3:21" x14ac:dyDescent="0.25">
      <c r="C433" s="8"/>
      <c r="D433" s="8"/>
      <c r="E433" s="8"/>
      <c r="F433" s="8"/>
      <c r="G433" s="25" t="str">
        <f t="shared" si="82"/>
        <v/>
      </c>
      <c r="H433" s="8"/>
      <c r="I433" s="26" t="str">
        <f t="shared" si="83"/>
        <v/>
      </c>
      <c r="J433" s="8"/>
      <c r="K433" s="26" t="str">
        <f t="shared" si="84"/>
        <v/>
      </c>
      <c r="L433" s="8"/>
      <c r="M433" s="26" t="str">
        <f t="shared" si="85"/>
        <v/>
      </c>
      <c r="N433" s="8"/>
      <c r="O433" s="26" t="str">
        <f t="shared" si="86"/>
        <v/>
      </c>
      <c r="P433" s="23" t="str">
        <f t="shared" si="80"/>
        <v/>
      </c>
      <c r="Q433" s="23" t="str">
        <f t="shared" si="81"/>
        <v/>
      </c>
      <c r="R433" s="23" t="str">
        <f t="shared" si="87"/>
        <v/>
      </c>
      <c r="S433" s="23" t="str">
        <f t="shared" si="88"/>
        <v/>
      </c>
      <c r="T433" s="23" t="str">
        <f t="shared" si="89"/>
        <v/>
      </c>
      <c r="U433" s="10"/>
    </row>
    <row r="434" spans="3:21" x14ac:dyDescent="0.25">
      <c r="C434" s="8"/>
      <c r="D434" s="8"/>
      <c r="E434" s="8"/>
      <c r="F434" s="8"/>
      <c r="G434" s="25" t="str">
        <f t="shared" si="82"/>
        <v/>
      </c>
      <c r="H434" s="8"/>
      <c r="I434" s="26" t="str">
        <f t="shared" si="83"/>
        <v/>
      </c>
      <c r="J434" s="8"/>
      <c r="K434" s="26" t="str">
        <f t="shared" si="84"/>
        <v/>
      </c>
      <c r="L434" s="8"/>
      <c r="M434" s="26" t="str">
        <f t="shared" si="85"/>
        <v/>
      </c>
      <c r="N434" s="8"/>
      <c r="O434" s="26" t="str">
        <f t="shared" si="86"/>
        <v/>
      </c>
      <c r="P434" s="23" t="str">
        <f t="shared" si="80"/>
        <v/>
      </c>
      <c r="Q434" s="23" t="str">
        <f t="shared" si="81"/>
        <v/>
      </c>
      <c r="R434" s="23" t="str">
        <f t="shared" si="87"/>
        <v/>
      </c>
      <c r="S434" s="23" t="str">
        <f t="shared" si="88"/>
        <v/>
      </c>
      <c r="T434" s="23" t="str">
        <f t="shared" si="89"/>
        <v/>
      </c>
      <c r="U434" s="10"/>
    </row>
    <row r="435" spans="3:21" x14ac:dyDescent="0.25">
      <c r="C435" s="8"/>
      <c r="D435" s="8"/>
      <c r="E435" s="8"/>
      <c r="F435" s="8"/>
      <c r="G435" s="25" t="str">
        <f t="shared" si="82"/>
        <v/>
      </c>
      <c r="H435" s="8"/>
      <c r="I435" s="26" t="str">
        <f t="shared" si="83"/>
        <v/>
      </c>
      <c r="J435" s="8"/>
      <c r="K435" s="26" t="str">
        <f t="shared" si="84"/>
        <v/>
      </c>
      <c r="L435" s="8"/>
      <c r="M435" s="26" t="str">
        <f t="shared" si="85"/>
        <v/>
      </c>
      <c r="N435" s="8"/>
      <c r="O435" s="26" t="str">
        <f t="shared" si="86"/>
        <v/>
      </c>
      <c r="P435" s="23" t="str">
        <f t="shared" si="80"/>
        <v/>
      </c>
      <c r="Q435" s="23" t="str">
        <f t="shared" si="81"/>
        <v/>
      </c>
      <c r="R435" s="23" t="str">
        <f t="shared" si="87"/>
        <v/>
      </c>
      <c r="S435" s="23" t="str">
        <f t="shared" si="88"/>
        <v/>
      </c>
      <c r="T435" s="23" t="str">
        <f t="shared" si="89"/>
        <v/>
      </c>
      <c r="U435" s="10"/>
    </row>
    <row r="436" spans="3:21" x14ac:dyDescent="0.25">
      <c r="C436" s="8"/>
      <c r="D436" s="8"/>
      <c r="E436" s="8"/>
      <c r="F436" s="8"/>
      <c r="G436" s="25" t="str">
        <f t="shared" si="82"/>
        <v/>
      </c>
      <c r="H436" s="8"/>
      <c r="I436" s="26" t="str">
        <f t="shared" si="83"/>
        <v/>
      </c>
      <c r="J436" s="8"/>
      <c r="K436" s="26" t="str">
        <f t="shared" si="84"/>
        <v/>
      </c>
      <c r="L436" s="8"/>
      <c r="M436" s="26" t="str">
        <f t="shared" si="85"/>
        <v/>
      </c>
      <c r="N436" s="8"/>
      <c r="O436" s="26" t="str">
        <f t="shared" si="86"/>
        <v/>
      </c>
      <c r="P436" s="23" t="str">
        <f t="shared" si="80"/>
        <v/>
      </c>
      <c r="Q436" s="23" t="str">
        <f t="shared" si="81"/>
        <v/>
      </c>
      <c r="R436" s="23" t="str">
        <f t="shared" si="87"/>
        <v/>
      </c>
      <c r="S436" s="23" t="str">
        <f t="shared" si="88"/>
        <v/>
      </c>
      <c r="T436" s="23" t="str">
        <f t="shared" si="89"/>
        <v/>
      </c>
      <c r="U436" s="10"/>
    </row>
    <row r="437" spans="3:21" x14ac:dyDescent="0.25">
      <c r="C437" s="8"/>
      <c r="D437" s="8"/>
      <c r="E437" s="8"/>
      <c r="F437" s="8"/>
      <c r="G437" s="25" t="str">
        <f t="shared" si="82"/>
        <v/>
      </c>
      <c r="H437" s="8"/>
      <c r="I437" s="26" t="str">
        <f t="shared" si="83"/>
        <v/>
      </c>
      <c r="J437" s="8"/>
      <c r="K437" s="26" t="str">
        <f t="shared" si="84"/>
        <v/>
      </c>
      <c r="L437" s="8"/>
      <c r="M437" s="26" t="str">
        <f t="shared" si="85"/>
        <v/>
      </c>
      <c r="N437" s="8"/>
      <c r="O437" s="26" t="str">
        <f t="shared" si="86"/>
        <v/>
      </c>
      <c r="P437" s="23" t="str">
        <f t="shared" si="80"/>
        <v/>
      </c>
      <c r="Q437" s="23" t="str">
        <f t="shared" si="81"/>
        <v/>
      </c>
      <c r="R437" s="23" t="str">
        <f t="shared" si="87"/>
        <v/>
      </c>
      <c r="S437" s="23" t="str">
        <f t="shared" si="88"/>
        <v/>
      </c>
      <c r="T437" s="23" t="str">
        <f t="shared" si="89"/>
        <v/>
      </c>
      <c r="U437" s="10"/>
    </row>
    <row r="438" spans="3:21" x14ac:dyDescent="0.25">
      <c r="C438" s="8"/>
      <c r="D438" s="8"/>
      <c r="E438" s="8"/>
      <c r="F438" s="8"/>
      <c r="G438" s="25" t="str">
        <f t="shared" si="82"/>
        <v/>
      </c>
      <c r="H438" s="8"/>
      <c r="I438" s="26" t="str">
        <f t="shared" si="83"/>
        <v/>
      </c>
      <c r="J438" s="8"/>
      <c r="K438" s="26" t="str">
        <f t="shared" si="84"/>
        <v/>
      </c>
      <c r="L438" s="8"/>
      <c r="M438" s="26" t="str">
        <f t="shared" si="85"/>
        <v/>
      </c>
      <c r="N438" s="8"/>
      <c r="O438" s="26" t="str">
        <f t="shared" si="86"/>
        <v/>
      </c>
      <c r="P438" s="23" t="str">
        <f t="shared" si="80"/>
        <v/>
      </c>
      <c r="Q438" s="23" t="str">
        <f t="shared" si="81"/>
        <v/>
      </c>
      <c r="R438" s="23" t="str">
        <f t="shared" si="87"/>
        <v/>
      </c>
      <c r="S438" s="23" t="str">
        <f t="shared" si="88"/>
        <v/>
      </c>
      <c r="T438" s="23" t="str">
        <f t="shared" si="89"/>
        <v/>
      </c>
      <c r="U438" s="10"/>
    </row>
    <row r="439" spans="3:21" x14ac:dyDescent="0.25">
      <c r="C439" s="8"/>
      <c r="D439" s="8"/>
      <c r="E439" s="8"/>
      <c r="F439" s="8"/>
      <c r="G439" s="25" t="str">
        <f t="shared" si="82"/>
        <v/>
      </c>
      <c r="H439" s="8"/>
      <c r="I439" s="26" t="str">
        <f t="shared" si="83"/>
        <v/>
      </c>
      <c r="J439" s="8"/>
      <c r="K439" s="26" t="str">
        <f t="shared" si="84"/>
        <v/>
      </c>
      <c r="L439" s="8"/>
      <c r="M439" s="26" t="str">
        <f t="shared" si="85"/>
        <v/>
      </c>
      <c r="N439" s="8"/>
      <c r="O439" s="26" t="str">
        <f t="shared" si="86"/>
        <v/>
      </c>
      <c r="P439" s="23" t="str">
        <f t="shared" si="80"/>
        <v/>
      </c>
      <c r="Q439" s="23" t="str">
        <f t="shared" si="81"/>
        <v/>
      </c>
      <c r="R439" s="23" t="str">
        <f t="shared" si="87"/>
        <v/>
      </c>
      <c r="S439" s="23" t="str">
        <f t="shared" si="88"/>
        <v/>
      </c>
      <c r="T439" s="23" t="str">
        <f t="shared" si="89"/>
        <v/>
      </c>
      <c r="U439" s="10"/>
    </row>
    <row r="440" spans="3:21" x14ac:dyDescent="0.25">
      <c r="C440" s="8"/>
      <c r="D440" s="8"/>
      <c r="E440" s="8"/>
      <c r="F440" s="8"/>
      <c r="G440" s="25" t="str">
        <f t="shared" si="82"/>
        <v/>
      </c>
      <c r="H440" s="8"/>
      <c r="I440" s="26" t="str">
        <f t="shared" si="83"/>
        <v/>
      </c>
      <c r="J440" s="8"/>
      <c r="K440" s="26" t="str">
        <f t="shared" si="84"/>
        <v/>
      </c>
      <c r="L440" s="8"/>
      <c r="M440" s="26" t="str">
        <f t="shared" si="85"/>
        <v/>
      </c>
      <c r="N440" s="8"/>
      <c r="O440" s="26" t="str">
        <f t="shared" si="86"/>
        <v/>
      </c>
      <c r="P440" s="23" t="str">
        <f t="shared" si="80"/>
        <v/>
      </c>
      <c r="Q440" s="23" t="str">
        <f t="shared" si="81"/>
        <v/>
      </c>
      <c r="R440" s="23" t="str">
        <f t="shared" si="87"/>
        <v/>
      </c>
      <c r="S440" s="23" t="str">
        <f t="shared" si="88"/>
        <v/>
      </c>
      <c r="T440" s="23" t="str">
        <f t="shared" si="89"/>
        <v/>
      </c>
      <c r="U440" s="10"/>
    </row>
    <row r="441" spans="3:21" x14ac:dyDescent="0.25">
      <c r="C441" s="8"/>
      <c r="D441" s="8"/>
      <c r="E441" s="8"/>
      <c r="F441" s="8"/>
      <c r="G441" s="25" t="str">
        <f t="shared" si="82"/>
        <v/>
      </c>
      <c r="H441" s="8"/>
      <c r="I441" s="26" t="str">
        <f t="shared" si="83"/>
        <v/>
      </c>
      <c r="J441" s="8"/>
      <c r="K441" s="26" t="str">
        <f t="shared" si="84"/>
        <v/>
      </c>
      <c r="L441" s="8"/>
      <c r="M441" s="26" t="str">
        <f t="shared" si="85"/>
        <v/>
      </c>
      <c r="N441" s="8"/>
      <c r="O441" s="26" t="str">
        <f t="shared" si="86"/>
        <v/>
      </c>
      <c r="P441" s="23" t="str">
        <f t="shared" si="80"/>
        <v/>
      </c>
      <c r="Q441" s="23" t="str">
        <f t="shared" si="81"/>
        <v/>
      </c>
      <c r="R441" s="23" t="str">
        <f t="shared" si="87"/>
        <v/>
      </c>
      <c r="S441" s="23" t="str">
        <f t="shared" si="88"/>
        <v/>
      </c>
      <c r="T441" s="23" t="str">
        <f t="shared" si="89"/>
        <v/>
      </c>
      <c r="U441" s="10"/>
    </row>
    <row r="442" spans="3:21" x14ac:dyDescent="0.25">
      <c r="C442" s="8"/>
      <c r="D442" s="8"/>
      <c r="E442" s="8"/>
      <c r="F442" s="8"/>
      <c r="G442" s="25" t="str">
        <f t="shared" si="82"/>
        <v/>
      </c>
      <c r="H442" s="8"/>
      <c r="I442" s="26" t="str">
        <f t="shared" si="83"/>
        <v/>
      </c>
      <c r="J442" s="8"/>
      <c r="K442" s="26" t="str">
        <f t="shared" si="84"/>
        <v/>
      </c>
      <c r="L442" s="8"/>
      <c r="M442" s="26" t="str">
        <f t="shared" si="85"/>
        <v/>
      </c>
      <c r="N442" s="8"/>
      <c r="O442" s="26" t="str">
        <f t="shared" si="86"/>
        <v/>
      </c>
      <c r="P442" s="23" t="str">
        <f t="shared" si="80"/>
        <v/>
      </c>
      <c r="Q442" s="23" t="str">
        <f t="shared" si="81"/>
        <v/>
      </c>
      <c r="R442" s="23" t="str">
        <f t="shared" si="87"/>
        <v/>
      </c>
      <c r="S442" s="23" t="str">
        <f t="shared" si="88"/>
        <v/>
      </c>
      <c r="T442" s="23" t="str">
        <f t="shared" si="89"/>
        <v/>
      </c>
      <c r="U442" s="10"/>
    </row>
    <row r="443" spans="3:21" x14ac:dyDescent="0.25">
      <c r="C443" s="8"/>
      <c r="D443" s="8"/>
      <c r="E443" s="8"/>
      <c r="F443" s="8"/>
      <c r="G443" s="25" t="str">
        <f t="shared" si="82"/>
        <v/>
      </c>
      <c r="H443" s="8"/>
      <c r="I443" s="26" t="str">
        <f t="shared" si="83"/>
        <v/>
      </c>
      <c r="J443" s="8"/>
      <c r="K443" s="26" t="str">
        <f t="shared" si="84"/>
        <v/>
      </c>
      <c r="L443" s="8"/>
      <c r="M443" s="26" t="str">
        <f t="shared" si="85"/>
        <v/>
      </c>
      <c r="N443" s="8"/>
      <c r="O443" s="26" t="str">
        <f t="shared" si="86"/>
        <v/>
      </c>
      <c r="P443" s="23" t="str">
        <f t="shared" si="80"/>
        <v/>
      </c>
      <c r="Q443" s="23" t="str">
        <f t="shared" si="81"/>
        <v/>
      </c>
      <c r="R443" s="23" t="str">
        <f t="shared" si="87"/>
        <v/>
      </c>
      <c r="S443" s="23" t="str">
        <f t="shared" si="88"/>
        <v/>
      </c>
      <c r="T443" s="23" t="str">
        <f t="shared" si="89"/>
        <v/>
      </c>
      <c r="U443" s="10"/>
    </row>
    <row r="444" spans="3:21" x14ac:dyDescent="0.25">
      <c r="C444" s="8"/>
      <c r="D444" s="8"/>
      <c r="E444" s="8"/>
      <c r="F444" s="8"/>
      <c r="G444" s="25" t="str">
        <f t="shared" si="82"/>
        <v/>
      </c>
      <c r="H444" s="8"/>
      <c r="I444" s="26" t="str">
        <f t="shared" si="83"/>
        <v/>
      </c>
      <c r="J444" s="8"/>
      <c r="K444" s="26" t="str">
        <f t="shared" si="84"/>
        <v/>
      </c>
      <c r="L444" s="8"/>
      <c r="M444" s="26" t="str">
        <f t="shared" si="85"/>
        <v/>
      </c>
      <c r="N444" s="8"/>
      <c r="O444" s="26" t="str">
        <f t="shared" si="86"/>
        <v/>
      </c>
      <c r="P444" s="23" t="str">
        <f t="shared" si="80"/>
        <v/>
      </c>
      <c r="Q444" s="23" t="str">
        <f t="shared" si="81"/>
        <v/>
      </c>
      <c r="R444" s="23" t="str">
        <f t="shared" si="87"/>
        <v/>
      </c>
      <c r="S444" s="23" t="str">
        <f t="shared" si="88"/>
        <v/>
      </c>
      <c r="T444" s="23" t="str">
        <f t="shared" si="89"/>
        <v/>
      </c>
      <c r="U444" s="10"/>
    </row>
    <row r="445" spans="3:21" x14ac:dyDescent="0.25">
      <c r="C445" s="8"/>
      <c r="D445" s="8"/>
      <c r="E445" s="8"/>
      <c r="F445" s="8"/>
      <c r="G445" s="25" t="str">
        <f t="shared" si="82"/>
        <v/>
      </c>
      <c r="H445" s="8"/>
      <c r="I445" s="26" t="str">
        <f t="shared" si="83"/>
        <v/>
      </c>
      <c r="J445" s="8"/>
      <c r="K445" s="26" t="str">
        <f t="shared" si="84"/>
        <v/>
      </c>
      <c r="L445" s="8"/>
      <c r="M445" s="26" t="str">
        <f t="shared" si="85"/>
        <v/>
      </c>
      <c r="N445" s="8"/>
      <c r="O445" s="26" t="str">
        <f t="shared" si="86"/>
        <v/>
      </c>
      <c r="P445" s="23" t="str">
        <f t="shared" si="80"/>
        <v/>
      </c>
      <c r="Q445" s="23" t="str">
        <f t="shared" si="81"/>
        <v/>
      </c>
      <c r="R445" s="23" t="str">
        <f t="shared" si="87"/>
        <v/>
      </c>
      <c r="S445" s="23" t="str">
        <f t="shared" si="88"/>
        <v/>
      </c>
      <c r="T445" s="23" t="str">
        <f t="shared" si="89"/>
        <v/>
      </c>
      <c r="U445" s="10"/>
    </row>
    <row r="446" spans="3:21" x14ac:dyDescent="0.25">
      <c r="C446" s="8"/>
      <c r="D446" s="8"/>
      <c r="E446" s="8"/>
      <c r="F446" s="8"/>
      <c r="G446" s="25" t="str">
        <f t="shared" si="82"/>
        <v/>
      </c>
      <c r="H446" s="8"/>
      <c r="I446" s="26" t="str">
        <f t="shared" si="83"/>
        <v/>
      </c>
      <c r="J446" s="8"/>
      <c r="K446" s="26" t="str">
        <f t="shared" si="84"/>
        <v/>
      </c>
      <c r="L446" s="8"/>
      <c r="M446" s="26" t="str">
        <f t="shared" si="85"/>
        <v/>
      </c>
      <c r="N446" s="8"/>
      <c r="O446" s="26" t="str">
        <f t="shared" si="86"/>
        <v/>
      </c>
      <c r="P446" s="23" t="str">
        <f t="shared" si="80"/>
        <v/>
      </c>
      <c r="Q446" s="23" t="str">
        <f t="shared" si="81"/>
        <v/>
      </c>
      <c r="R446" s="23" t="str">
        <f t="shared" si="87"/>
        <v/>
      </c>
      <c r="S446" s="23" t="str">
        <f t="shared" si="88"/>
        <v/>
      </c>
      <c r="T446" s="23" t="str">
        <f t="shared" si="89"/>
        <v/>
      </c>
      <c r="U446" s="10"/>
    </row>
    <row r="447" spans="3:21" x14ac:dyDescent="0.25">
      <c r="C447" s="8"/>
      <c r="D447" s="8"/>
      <c r="E447" s="8"/>
      <c r="F447" s="8"/>
      <c r="G447" s="25" t="str">
        <f t="shared" si="82"/>
        <v/>
      </c>
      <c r="H447" s="8"/>
      <c r="I447" s="26" t="str">
        <f t="shared" si="83"/>
        <v/>
      </c>
      <c r="J447" s="8"/>
      <c r="K447" s="26" t="str">
        <f t="shared" si="84"/>
        <v/>
      </c>
      <c r="L447" s="8"/>
      <c r="M447" s="26" t="str">
        <f t="shared" si="85"/>
        <v/>
      </c>
      <c r="N447" s="8"/>
      <c r="O447" s="26" t="str">
        <f t="shared" si="86"/>
        <v/>
      </c>
      <c r="P447" s="23" t="str">
        <f t="shared" si="80"/>
        <v/>
      </c>
      <c r="Q447" s="23" t="str">
        <f t="shared" si="81"/>
        <v/>
      </c>
      <c r="R447" s="23" t="str">
        <f t="shared" si="87"/>
        <v/>
      </c>
      <c r="S447" s="23" t="str">
        <f t="shared" si="88"/>
        <v/>
      </c>
      <c r="T447" s="23" t="str">
        <f t="shared" si="89"/>
        <v/>
      </c>
      <c r="U447" s="10"/>
    </row>
    <row r="448" spans="3:21" x14ac:dyDescent="0.25">
      <c r="C448" s="8"/>
      <c r="D448" s="8"/>
      <c r="E448" s="8"/>
      <c r="F448" s="8"/>
      <c r="G448" s="25" t="str">
        <f t="shared" si="82"/>
        <v/>
      </c>
      <c r="H448" s="8"/>
      <c r="I448" s="26" t="str">
        <f t="shared" si="83"/>
        <v/>
      </c>
      <c r="J448" s="8"/>
      <c r="K448" s="26" t="str">
        <f t="shared" si="84"/>
        <v/>
      </c>
      <c r="L448" s="8"/>
      <c r="M448" s="26" t="str">
        <f t="shared" si="85"/>
        <v/>
      </c>
      <c r="N448" s="8"/>
      <c r="O448" s="26" t="str">
        <f t="shared" si="86"/>
        <v/>
      </c>
      <c r="P448" s="23" t="str">
        <f t="shared" si="80"/>
        <v/>
      </c>
      <c r="Q448" s="23" t="str">
        <f t="shared" si="81"/>
        <v/>
      </c>
      <c r="R448" s="23" t="str">
        <f t="shared" si="87"/>
        <v/>
      </c>
      <c r="S448" s="23" t="str">
        <f t="shared" si="88"/>
        <v/>
      </c>
      <c r="T448" s="23" t="str">
        <f t="shared" si="89"/>
        <v/>
      </c>
      <c r="U448" s="10"/>
    </row>
    <row r="449" spans="3:21" x14ac:dyDescent="0.25">
      <c r="C449" s="8"/>
      <c r="D449" s="8"/>
      <c r="E449" s="8"/>
      <c r="F449" s="8"/>
      <c r="G449" s="25" t="str">
        <f t="shared" si="82"/>
        <v/>
      </c>
      <c r="H449" s="8"/>
      <c r="I449" s="26" t="str">
        <f t="shared" si="83"/>
        <v/>
      </c>
      <c r="J449" s="8"/>
      <c r="K449" s="26" t="str">
        <f t="shared" si="84"/>
        <v/>
      </c>
      <c r="L449" s="8"/>
      <c r="M449" s="26" t="str">
        <f t="shared" si="85"/>
        <v/>
      </c>
      <c r="N449" s="8"/>
      <c r="O449" s="26" t="str">
        <f t="shared" si="86"/>
        <v/>
      </c>
      <c r="P449" s="23" t="str">
        <f t="shared" si="80"/>
        <v/>
      </c>
      <c r="Q449" s="23" t="str">
        <f t="shared" si="81"/>
        <v/>
      </c>
      <c r="R449" s="23" t="str">
        <f t="shared" si="87"/>
        <v/>
      </c>
      <c r="S449" s="23" t="str">
        <f t="shared" si="88"/>
        <v/>
      </c>
      <c r="T449" s="23" t="str">
        <f t="shared" si="89"/>
        <v/>
      </c>
      <c r="U449" s="10"/>
    </row>
    <row r="450" spans="3:21" x14ac:dyDescent="0.25">
      <c r="C450" s="8"/>
      <c r="D450" s="8"/>
      <c r="E450" s="8"/>
      <c r="F450" s="8"/>
      <c r="G450" s="25" t="str">
        <f t="shared" si="82"/>
        <v/>
      </c>
      <c r="H450" s="8"/>
      <c r="I450" s="26" t="str">
        <f t="shared" si="83"/>
        <v/>
      </c>
      <c r="J450" s="8"/>
      <c r="K450" s="26" t="str">
        <f t="shared" si="84"/>
        <v/>
      </c>
      <c r="L450" s="8"/>
      <c r="M450" s="26" t="str">
        <f t="shared" si="85"/>
        <v/>
      </c>
      <c r="N450" s="8"/>
      <c r="O450" s="26" t="str">
        <f t="shared" si="86"/>
        <v/>
      </c>
      <c r="P450" s="23" t="str">
        <f t="shared" si="80"/>
        <v/>
      </c>
      <c r="Q450" s="23" t="str">
        <f t="shared" si="81"/>
        <v/>
      </c>
      <c r="R450" s="23" t="str">
        <f t="shared" si="87"/>
        <v/>
      </c>
      <c r="S450" s="23" t="str">
        <f t="shared" si="88"/>
        <v/>
      </c>
      <c r="T450" s="23" t="str">
        <f t="shared" si="89"/>
        <v/>
      </c>
      <c r="U450" s="10"/>
    </row>
    <row r="451" spans="3:21" x14ac:dyDescent="0.25">
      <c r="C451" s="8"/>
      <c r="D451" s="8"/>
      <c r="E451" s="8"/>
      <c r="F451" s="8"/>
      <c r="G451" s="25" t="str">
        <f t="shared" si="82"/>
        <v/>
      </c>
      <c r="H451" s="8"/>
      <c r="I451" s="26" t="str">
        <f t="shared" si="83"/>
        <v/>
      </c>
      <c r="J451" s="8"/>
      <c r="K451" s="26" t="str">
        <f t="shared" si="84"/>
        <v/>
      </c>
      <c r="L451" s="8"/>
      <c r="M451" s="26" t="str">
        <f t="shared" si="85"/>
        <v/>
      </c>
      <c r="N451" s="8"/>
      <c r="O451" s="26" t="str">
        <f t="shared" si="86"/>
        <v/>
      </c>
      <c r="P451" s="23" t="str">
        <f t="shared" si="80"/>
        <v/>
      </c>
      <c r="Q451" s="23" t="str">
        <f t="shared" si="81"/>
        <v/>
      </c>
      <c r="R451" s="23" t="str">
        <f t="shared" si="87"/>
        <v/>
      </c>
      <c r="S451" s="23" t="str">
        <f t="shared" si="88"/>
        <v/>
      </c>
      <c r="T451" s="23" t="str">
        <f t="shared" si="89"/>
        <v/>
      </c>
      <c r="U451" s="10"/>
    </row>
    <row r="452" spans="3:21" x14ac:dyDescent="0.25">
      <c r="C452" s="8"/>
      <c r="D452" s="8"/>
      <c r="E452" s="8"/>
      <c r="F452" s="8"/>
      <c r="G452" s="25" t="str">
        <f t="shared" si="82"/>
        <v/>
      </c>
      <c r="H452" s="8"/>
      <c r="I452" s="26" t="str">
        <f t="shared" si="83"/>
        <v/>
      </c>
      <c r="J452" s="8"/>
      <c r="K452" s="26" t="str">
        <f t="shared" si="84"/>
        <v/>
      </c>
      <c r="L452" s="8"/>
      <c r="M452" s="26" t="str">
        <f t="shared" si="85"/>
        <v/>
      </c>
      <c r="N452" s="8"/>
      <c r="O452" s="26" t="str">
        <f t="shared" si="86"/>
        <v/>
      </c>
      <c r="P452" s="23" t="str">
        <f t="shared" ref="P452:P503" si="90">IF(COUNT(F452:O452)=0,"",SUM(F452:O452))</f>
        <v/>
      </c>
      <c r="Q452" s="23" t="str">
        <f t="shared" ref="Q452:Q503" si="91">IF(P452="","",P452/500*12)</f>
        <v/>
      </c>
      <c r="R452" s="23" t="str">
        <f t="shared" si="87"/>
        <v/>
      </c>
      <c r="S452" s="23" t="str">
        <f t="shared" si="88"/>
        <v/>
      </c>
      <c r="T452" s="23" t="str">
        <f t="shared" si="89"/>
        <v/>
      </c>
      <c r="U452" s="10"/>
    </row>
    <row r="453" spans="3:21" x14ac:dyDescent="0.25">
      <c r="C453" s="8"/>
      <c r="D453" s="8"/>
      <c r="E453" s="8"/>
      <c r="F453" s="8"/>
      <c r="G453" s="25" t="str">
        <f t="shared" si="82"/>
        <v/>
      </c>
      <c r="H453" s="8"/>
      <c r="I453" s="26" t="str">
        <f t="shared" si="83"/>
        <v/>
      </c>
      <c r="J453" s="8"/>
      <c r="K453" s="26" t="str">
        <f t="shared" si="84"/>
        <v/>
      </c>
      <c r="L453" s="8"/>
      <c r="M453" s="26" t="str">
        <f t="shared" si="85"/>
        <v/>
      </c>
      <c r="N453" s="8"/>
      <c r="O453" s="26" t="str">
        <f t="shared" si="86"/>
        <v/>
      </c>
      <c r="P453" s="23" t="str">
        <f t="shared" si="90"/>
        <v/>
      </c>
      <c r="Q453" s="23" t="str">
        <f t="shared" si="91"/>
        <v/>
      </c>
      <c r="R453" s="23" t="str">
        <f t="shared" si="87"/>
        <v/>
      </c>
      <c r="S453" s="23" t="str">
        <f t="shared" si="88"/>
        <v/>
      </c>
      <c r="T453" s="23" t="str">
        <f t="shared" si="89"/>
        <v/>
      </c>
      <c r="U453" s="10"/>
    </row>
    <row r="454" spans="3:21" x14ac:dyDescent="0.25">
      <c r="C454" s="8"/>
      <c r="D454" s="8"/>
      <c r="E454" s="8"/>
      <c r="F454" s="8"/>
      <c r="G454" s="25" t="str">
        <f t="shared" si="82"/>
        <v/>
      </c>
      <c r="H454" s="8"/>
      <c r="I454" s="26" t="str">
        <f t="shared" si="83"/>
        <v/>
      </c>
      <c r="J454" s="8"/>
      <c r="K454" s="26" t="str">
        <f t="shared" si="84"/>
        <v/>
      </c>
      <c r="L454" s="8"/>
      <c r="M454" s="26" t="str">
        <f t="shared" si="85"/>
        <v/>
      </c>
      <c r="N454" s="8"/>
      <c r="O454" s="26" t="str">
        <f t="shared" si="86"/>
        <v/>
      </c>
      <c r="P454" s="23" t="str">
        <f t="shared" si="90"/>
        <v/>
      </c>
      <c r="Q454" s="23" t="str">
        <f t="shared" si="91"/>
        <v/>
      </c>
      <c r="R454" s="23" t="str">
        <f t="shared" si="87"/>
        <v/>
      </c>
      <c r="S454" s="23" t="str">
        <f t="shared" si="88"/>
        <v/>
      </c>
      <c r="T454" s="23" t="str">
        <f t="shared" si="89"/>
        <v/>
      </c>
      <c r="U454" s="10"/>
    </row>
    <row r="455" spans="3:21" x14ac:dyDescent="0.25">
      <c r="C455" s="8"/>
      <c r="D455" s="8"/>
      <c r="E455" s="8"/>
      <c r="F455" s="8"/>
      <c r="G455" s="25" t="str">
        <f t="shared" si="82"/>
        <v/>
      </c>
      <c r="H455" s="8"/>
      <c r="I455" s="26" t="str">
        <f t="shared" si="83"/>
        <v/>
      </c>
      <c r="J455" s="8"/>
      <c r="K455" s="26" t="str">
        <f t="shared" si="84"/>
        <v/>
      </c>
      <c r="L455" s="8"/>
      <c r="M455" s="26" t="str">
        <f t="shared" si="85"/>
        <v/>
      </c>
      <c r="N455" s="8"/>
      <c r="O455" s="26" t="str">
        <f t="shared" si="86"/>
        <v/>
      </c>
      <c r="P455" s="23" t="str">
        <f t="shared" si="90"/>
        <v/>
      </c>
      <c r="Q455" s="23" t="str">
        <f t="shared" si="91"/>
        <v/>
      </c>
      <c r="R455" s="23" t="str">
        <f t="shared" si="87"/>
        <v/>
      </c>
      <c r="S455" s="23" t="str">
        <f t="shared" si="88"/>
        <v/>
      </c>
      <c r="T455" s="23" t="str">
        <f t="shared" si="89"/>
        <v/>
      </c>
      <c r="U455" s="10"/>
    </row>
    <row r="456" spans="3:21" x14ac:dyDescent="0.25">
      <c r="C456" s="8"/>
      <c r="D456" s="8"/>
      <c r="E456" s="8"/>
      <c r="F456" s="8"/>
      <c r="G456" s="25" t="str">
        <f t="shared" si="82"/>
        <v/>
      </c>
      <c r="H456" s="8"/>
      <c r="I456" s="26" t="str">
        <f t="shared" si="83"/>
        <v/>
      </c>
      <c r="J456" s="8"/>
      <c r="K456" s="26" t="str">
        <f t="shared" si="84"/>
        <v/>
      </c>
      <c r="L456" s="8"/>
      <c r="M456" s="26" t="str">
        <f t="shared" si="85"/>
        <v/>
      </c>
      <c r="N456" s="8"/>
      <c r="O456" s="26" t="str">
        <f t="shared" si="86"/>
        <v/>
      </c>
      <c r="P456" s="23" t="str">
        <f t="shared" si="90"/>
        <v/>
      </c>
      <c r="Q456" s="23" t="str">
        <f t="shared" si="91"/>
        <v/>
      </c>
      <c r="R456" s="23" t="str">
        <f t="shared" si="87"/>
        <v/>
      </c>
      <c r="S456" s="23" t="str">
        <f t="shared" si="88"/>
        <v/>
      </c>
      <c r="T456" s="23" t="str">
        <f t="shared" si="89"/>
        <v/>
      </c>
      <c r="U456" s="10"/>
    </row>
    <row r="457" spans="3:21" x14ac:dyDescent="0.25">
      <c r="C457" s="8"/>
      <c r="D457" s="8"/>
      <c r="E457" s="8"/>
      <c r="F457" s="8"/>
      <c r="G457" s="25" t="str">
        <f t="shared" si="82"/>
        <v/>
      </c>
      <c r="H457" s="8"/>
      <c r="I457" s="26" t="str">
        <f t="shared" si="83"/>
        <v/>
      </c>
      <c r="J457" s="8"/>
      <c r="K457" s="26" t="str">
        <f t="shared" si="84"/>
        <v/>
      </c>
      <c r="L457" s="8"/>
      <c r="M457" s="26" t="str">
        <f t="shared" si="85"/>
        <v/>
      </c>
      <c r="N457" s="8"/>
      <c r="O457" s="26" t="str">
        <f t="shared" si="86"/>
        <v/>
      </c>
      <c r="P457" s="23" t="str">
        <f t="shared" si="90"/>
        <v/>
      </c>
      <c r="Q457" s="23" t="str">
        <f t="shared" si="91"/>
        <v/>
      </c>
      <c r="R457" s="23" t="str">
        <f t="shared" si="87"/>
        <v/>
      </c>
      <c r="S457" s="23" t="str">
        <f t="shared" si="88"/>
        <v/>
      </c>
      <c r="T457" s="23" t="str">
        <f t="shared" si="89"/>
        <v/>
      </c>
      <c r="U457" s="10"/>
    </row>
    <row r="458" spans="3:21" x14ac:dyDescent="0.25">
      <c r="C458" s="8"/>
      <c r="D458" s="8"/>
      <c r="E458" s="8"/>
      <c r="F458" s="8"/>
      <c r="G458" s="25" t="str">
        <f t="shared" si="82"/>
        <v/>
      </c>
      <c r="H458" s="8"/>
      <c r="I458" s="26" t="str">
        <f t="shared" si="83"/>
        <v/>
      </c>
      <c r="J458" s="8"/>
      <c r="K458" s="26" t="str">
        <f t="shared" si="84"/>
        <v/>
      </c>
      <c r="L458" s="8"/>
      <c r="M458" s="26" t="str">
        <f t="shared" si="85"/>
        <v/>
      </c>
      <c r="N458" s="8"/>
      <c r="O458" s="26" t="str">
        <f t="shared" si="86"/>
        <v/>
      </c>
      <c r="P458" s="23" t="str">
        <f t="shared" si="90"/>
        <v/>
      </c>
      <c r="Q458" s="23" t="str">
        <f t="shared" si="91"/>
        <v/>
      </c>
      <c r="R458" s="23" t="str">
        <f t="shared" si="87"/>
        <v/>
      </c>
      <c r="S458" s="23" t="str">
        <f t="shared" si="88"/>
        <v/>
      </c>
      <c r="T458" s="23" t="str">
        <f t="shared" si="89"/>
        <v/>
      </c>
      <c r="U458" s="10"/>
    </row>
    <row r="459" spans="3:21" x14ac:dyDescent="0.25">
      <c r="C459" s="8"/>
      <c r="D459" s="8"/>
      <c r="E459" s="8"/>
      <c r="F459" s="8"/>
      <c r="G459" s="25" t="str">
        <f t="shared" si="82"/>
        <v/>
      </c>
      <c r="H459" s="8"/>
      <c r="I459" s="26" t="str">
        <f t="shared" si="83"/>
        <v/>
      </c>
      <c r="J459" s="8"/>
      <c r="K459" s="26" t="str">
        <f t="shared" si="84"/>
        <v/>
      </c>
      <c r="L459" s="8"/>
      <c r="M459" s="26" t="str">
        <f t="shared" si="85"/>
        <v/>
      </c>
      <c r="N459" s="8"/>
      <c r="O459" s="26" t="str">
        <f t="shared" si="86"/>
        <v/>
      </c>
      <c r="P459" s="23" t="str">
        <f t="shared" si="90"/>
        <v/>
      </c>
      <c r="Q459" s="23" t="str">
        <f t="shared" si="91"/>
        <v/>
      </c>
      <c r="R459" s="23" t="str">
        <f t="shared" si="87"/>
        <v/>
      </c>
      <c r="S459" s="23" t="str">
        <f t="shared" si="88"/>
        <v/>
      </c>
      <c r="T459" s="23" t="str">
        <f t="shared" si="89"/>
        <v/>
      </c>
      <c r="U459" s="10"/>
    </row>
    <row r="460" spans="3:21" x14ac:dyDescent="0.25">
      <c r="C460" s="8"/>
      <c r="D460" s="8"/>
      <c r="E460" s="8"/>
      <c r="F460" s="8"/>
      <c r="G460" s="25" t="str">
        <f t="shared" si="82"/>
        <v/>
      </c>
      <c r="H460" s="8"/>
      <c r="I460" s="26" t="str">
        <f t="shared" si="83"/>
        <v/>
      </c>
      <c r="J460" s="8"/>
      <c r="K460" s="26" t="str">
        <f t="shared" si="84"/>
        <v/>
      </c>
      <c r="L460" s="8"/>
      <c r="M460" s="26" t="str">
        <f t="shared" si="85"/>
        <v/>
      </c>
      <c r="N460" s="8"/>
      <c r="O460" s="26" t="str">
        <f t="shared" si="86"/>
        <v/>
      </c>
      <c r="P460" s="23" t="str">
        <f t="shared" si="90"/>
        <v/>
      </c>
      <c r="Q460" s="23" t="str">
        <f t="shared" si="91"/>
        <v/>
      </c>
      <c r="R460" s="23" t="str">
        <f t="shared" si="87"/>
        <v/>
      </c>
      <c r="S460" s="23" t="str">
        <f t="shared" si="88"/>
        <v/>
      </c>
      <c r="T460" s="23" t="str">
        <f t="shared" si="89"/>
        <v/>
      </c>
      <c r="U460" s="10"/>
    </row>
    <row r="461" spans="3:21" x14ac:dyDescent="0.25">
      <c r="C461" s="8"/>
      <c r="D461" s="8"/>
      <c r="E461" s="8"/>
      <c r="F461" s="8"/>
      <c r="G461" s="25" t="str">
        <f t="shared" si="82"/>
        <v/>
      </c>
      <c r="H461" s="8"/>
      <c r="I461" s="26" t="str">
        <f t="shared" si="83"/>
        <v/>
      </c>
      <c r="J461" s="8"/>
      <c r="K461" s="26" t="str">
        <f t="shared" si="84"/>
        <v/>
      </c>
      <c r="L461" s="8"/>
      <c r="M461" s="26" t="str">
        <f t="shared" si="85"/>
        <v/>
      </c>
      <c r="N461" s="8"/>
      <c r="O461" s="26" t="str">
        <f t="shared" si="86"/>
        <v/>
      </c>
      <c r="P461" s="23" t="str">
        <f t="shared" si="90"/>
        <v/>
      </c>
      <c r="Q461" s="23" t="str">
        <f t="shared" si="91"/>
        <v/>
      </c>
      <c r="R461" s="23" t="str">
        <f t="shared" si="87"/>
        <v/>
      </c>
      <c r="S461" s="23" t="str">
        <f t="shared" si="88"/>
        <v/>
      </c>
      <c r="T461" s="23" t="str">
        <f t="shared" si="89"/>
        <v/>
      </c>
      <c r="U461" s="10"/>
    </row>
    <row r="462" spans="3:21" x14ac:dyDescent="0.25">
      <c r="C462" s="8"/>
      <c r="D462" s="8"/>
      <c r="E462" s="8"/>
      <c r="F462" s="8"/>
      <c r="G462" s="25" t="str">
        <f t="shared" si="82"/>
        <v/>
      </c>
      <c r="H462" s="8"/>
      <c r="I462" s="26" t="str">
        <f t="shared" si="83"/>
        <v/>
      </c>
      <c r="J462" s="8"/>
      <c r="K462" s="26" t="str">
        <f t="shared" si="84"/>
        <v/>
      </c>
      <c r="L462" s="8"/>
      <c r="M462" s="26" t="str">
        <f t="shared" si="85"/>
        <v/>
      </c>
      <c r="N462" s="8"/>
      <c r="O462" s="26" t="str">
        <f t="shared" si="86"/>
        <v/>
      </c>
      <c r="P462" s="23" t="str">
        <f t="shared" si="90"/>
        <v/>
      </c>
      <c r="Q462" s="23" t="str">
        <f t="shared" si="91"/>
        <v/>
      </c>
      <c r="R462" s="23" t="str">
        <f t="shared" si="87"/>
        <v/>
      </c>
      <c r="S462" s="23" t="str">
        <f t="shared" si="88"/>
        <v/>
      </c>
      <c r="T462" s="23" t="str">
        <f t="shared" si="89"/>
        <v/>
      </c>
      <c r="U462" s="10"/>
    </row>
    <row r="463" spans="3:21" x14ac:dyDescent="0.25">
      <c r="C463" s="8"/>
      <c r="D463" s="8"/>
      <c r="E463" s="8"/>
      <c r="F463" s="8"/>
      <c r="G463" s="25" t="str">
        <f t="shared" si="82"/>
        <v/>
      </c>
      <c r="H463" s="8"/>
      <c r="I463" s="26" t="str">
        <f t="shared" si="83"/>
        <v/>
      </c>
      <c r="J463" s="8"/>
      <c r="K463" s="26" t="str">
        <f t="shared" si="84"/>
        <v/>
      </c>
      <c r="L463" s="8"/>
      <c r="M463" s="26" t="str">
        <f t="shared" si="85"/>
        <v/>
      </c>
      <c r="N463" s="8"/>
      <c r="O463" s="26" t="str">
        <f t="shared" si="86"/>
        <v/>
      </c>
      <c r="P463" s="23" t="str">
        <f t="shared" si="90"/>
        <v/>
      </c>
      <c r="Q463" s="23" t="str">
        <f t="shared" si="91"/>
        <v/>
      </c>
      <c r="R463" s="23" t="str">
        <f t="shared" si="87"/>
        <v/>
      </c>
      <c r="S463" s="23" t="str">
        <f t="shared" si="88"/>
        <v/>
      </c>
      <c r="T463" s="23" t="str">
        <f t="shared" si="89"/>
        <v/>
      </c>
      <c r="U463" s="10"/>
    </row>
    <row r="464" spans="3:21" x14ac:dyDescent="0.25">
      <c r="C464" s="8"/>
      <c r="D464" s="8"/>
      <c r="E464" s="8"/>
      <c r="F464" s="8"/>
      <c r="G464" s="25" t="str">
        <f t="shared" si="82"/>
        <v/>
      </c>
      <c r="H464" s="8"/>
      <c r="I464" s="26" t="str">
        <f t="shared" si="83"/>
        <v/>
      </c>
      <c r="J464" s="8"/>
      <c r="K464" s="26" t="str">
        <f t="shared" si="84"/>
        <v/>
      </c>
      <c r="L464" s="8"/>
      <c r="M464" s="26" t="str">
        <f t="shared" si="85"/>
        <v/>
      </c>
      <c r="N464" s="8"/>
      <c r="O464" s="26" t="str">
        <f t="shared" si="86"/>
        <v/>
      </c>
      <c r="P464" s="23" t="str">
        <f t="shared" si="90"/>
        <v/>
      </c>
      <c r="Q464" s="23" t="str">
        <f t="shared" si="91"/>
        <v/>
      </c>
      <c r="R464" s="23" t="str">
        <f t="shared" si="87"/>
        <v/>
      </c>
      <c r="S464" s="23" t="str">
        <f t="shared" si="88"/>
        <v/>
      </c>
      <c r="T464" s="23" t="str">
        <f t="shared" si="89"/>
        <v/>
      </c>
      <c r="U464" s="10"/>
    </row>
    <row r="465" spans="3:21" x14ac:dyDescent="0.25">
      <c r="C465" s="8"/>
      <c r="D465" s="8"/>
      <c r="E465" s="8"/>
      <c r="F465" s="8"/>
      <c r="G465" s="25" t="str">
        <f t="shared" si="82"/>
        <v/>
      </c>
      <c r="H465" s="8"/>
      <c r="I465" s="26" t="str">
        <f t="shared" si="83"/>
        <v/>
      </c>
      <c r="J465" s="8"/>
      <c r="K465" s="26" t="str">
        <f t="shared" si="84"/>
        <v/>
      </c>
      <c r="L465" s="8"/>
      <c r="M465" s="26" t="str">
        <f t="shared" si="85"/>
        <v/>
      </c>
      <c r="N465" s="8"/>
      <c r="O465" s="26" t="str">
        <f t="shared" si="86"/>
        <v/>
      </c>
      <c r="P465" s="23" t="str">
        <f t="shared" si="90"/>
        <v/>
      </c>
      <c r="Q465" s="23" t="str">
        <f t="shared" si="91"/>
        <v/>
      </c>
      <c r="R465" s="23" t="str">
        <f t="shared" si="87"/>
        <v/>
      </c>
      <c r="S465" s="23" t="str">
        <f t="shared" si="88"/>
        <v/>
      </c>
      <c r="T465" s="23" t="str">
        <f t="shared" si="89"/>
        <v/>
      </c>
      <c r="U465" s="10"/>
    </row>
    <row r="466" spans="3:21" x14ac:dyDescent="0.25">
      <c r="C466" s="8"/>
      <c r="D466" s="8"/>
      <c r="E466" s="8"/>
      <c r="F466" s="8"/>
      <c r="G466" s="25" t="str">
        <f t="shared" si="82"/>
        <v/>
      </c>
      <c r="H466" s="8"/>
      <c r="I466" s="26" t="str">
        <f t="shared" si="83"/>
        <v/>
      </c>
      <c r="J466" s="8"/>
      <c r="K466" s="26" t="str">
        <f t="shared" si="84"/>
        <v/>
      </c>
      <c r="L466" s="8"/>
      <c r="M466" s="26" t="str">
        <f t="shared" si="85"/>
        <v/>
      </c>
      <c r="N466" s="8"/>
      <c r="O466" s="26" t="str">
        <f t="shared" si="86"/>
        <v/>
      </c>
      <c r="P466" s="23" t="str">
        <f t="shared" si="90"/>
        <v/>
      </c>
      <c r="Q466" s="23" t="str">
        <f t="shared" si="91"/>
        <v/>
      </c>
      <c r="R466" s="23" t="str">
        <f t="shared" si="87"/>
        <v/>
      </c>
      <c r="S466" s="23" t="str">
        <f t="shared" si="88"/>
        <v/>
      </c>
      <c r="T466" s="23" t="str">
        <f t="shared" si="89"/>
        <v/>
      </c>
      <c r="U466" s="10"/>
    </row>
    <row r="467" spans="3:21" x14ac:dyDescent="0.25">
      <c r="C467" s="8"/>
      <c r="D467" s="8"/>
      <c r="E467" s="8"/>
      <c r="F467" s="8"/>
      <c r="G467" s="25" t="str">
        <f t="shared" si="82"/>
        <v/>
      </c>
      <c r="H467" s="8"/>
      <c r="I467" s="26" t="str">
        <f t="shared" si="83"/>
        <v/>
      </c>
      <c r="J467" s="8"/>
      <c r="K467" s="26" t="str">
        <f t="shared" si="84"/>
        <v/>
      </c>
      <c r="L467" s="8"/>
      <c r="M467" s="26" t="str">
        <f t="shared" si="85"/>
        <v/>
      </c>
      <c r="N467" s="8"/>
      <c r="O467" s="26" t="str">
        <f t="shared" si="86"/>
        <v/>
      </c>
      <c r="P467" s="23" t="str">
        <f t="shared" si="90"/>
        <v/>
      </c>
      <c r="Q467" s="23" t="str">
        <f t="shared" si="91"/>
        <v/>
      </c>
      <c r="R467" s="23" t="str">
        <f t="shared" si="87"/>
        <v/>
      </c>
      <c r="S467" s="23" t="str">
        <f t="shared" si="88"/>
        <v/>
      </c>
      <c r="T467" s="23" t="str">
        <f t="shared" si="89"/>
        <v/>
      </c>
      <c r="U467" s="10"/>
    </row>
    <row r="468" spans="3:21" x14ac:dyDescent="0.25">
      <c r="C468" s="8"/>
      <c r="D468" s="8"/>
      <c r="E468" s="8"/>
      <c r="F468" s="8"/>
      <c r="G468" s="25" t="str">
        <f t="shared" si="82"/>
        <v/>
      </c>
      <c r="H468" s="8"/>
      <c r="I468" s="26" t="str">
        <f t="shared" si="83"/>
        <v/>
      </c>
      <c r="J468" s="8"/>
      <c r="K468" s="26" t="str">
        <f t="shared" si="84"/>
        <v/>
      </c>
      <c r="L468" s="8"/>
      <c r="M468" s="26" t="str">
        <f t="shared" si="85"/>
        <v/>
      </c>
      <c r="N468" s="8"/>
      <c r="O468" s="26" t="str">
        <f t="shared" si="86"/>
        <v/>
      </c>
      <c r="P468" s="23" t="str">
        <f t="shared" si="90"/>
        <v/>
      </c>
      <c r="Q468" s="23" t="str">
        <f t="shared" si="91"/>
        <v/>
      </c>
      <c r="R468" s="23" t="str">
        <f t="shared" si="87"/>
        <v/>
      </c>
      <c r="S468" s="23" t="str">
        <f t="shared" si="88"/>
        <v/>
      </c>
      <c r="T468" s="23" t="str">
        <f t="shared" si="89"/>
        <v/>
      </c>
      <c r="U468" s="10"/>
    </row>
    <row r="469" spans="3:21" x14ac:dyDescent="0.25">
      <c r="C469" s="8"/>
      <c r="D469" s="8"/>
      <c r="E469" s="8"/>
      <c r="F469" s="8"/>
      <c r="G469" s="25" t="str">
        <f t="shared" si="82"/>
        <v/>
      </c>
      <c r="H469" s="8"/>
      <c r="I469" s="26" t="str">
        <f t="shared" si="83"/>
        <v/>
      </c>
      <c r="J469" s="8"/>
      <c r="K469" s="26" t="str">
        <f t="shared" si="84"/>
        <v/>
      </c>
      <c r="L469" s="8"/>
      <c r="M469" s="26" t="str">
        <f t="shared" si="85"/>
        <v/>
      </c>
      <c r="N469" s="8"/>
      <c r="O469" s="26" t="str">
        <f t="shared" si="86"/>
        <v/>
      </c>
      <c r="P469" s="23" t="str">
        <f t="shared" si="90"/>
        <v/>
      </c>
      <c r="Q469" s="23" t="str">
        <f t="shared" si="91"/>
        <v/>
      </c>
      <c r="R469" s="23" t="str">
        <f t="shared" si="87"/>
        <v/>
      </c>
      <c r="S469" s="23" t="str">
        <f t="shared" si="88"/>
        <v/>
      </c>
      <c r="T469" s="23" t="str">
        <f t="shared" si="89"/>
        <v/>
      </c>
      <c r="U469" s="10"/>
    </row>
    <row r="470" spans="3:21" x14ac:dyDescent="0.25">
      <c r="C470" s="8"/>
      <c r="D470" s="8"/>
      <c r="E470" s="8"/>
      <c r="F470" s="8"/>
      <c r="G470" s="25" t="str">
        <f t="shared" si="82"/>
        <v/>
      </c>
      <c r="H470" s="8"/>
      <c r="I470" s="26" t="str">
        <f t="shared" si="83"/>
        <v/>
      </c>
      <c r="J470" s="8"/>
      <c r="K470" s="26" t="str">
        <f t="shared" si="84"/>
        <v/>
      </c>
      <c r="L470" s="8"/>
      <c r="M470" s="26" t="str">
        <f t="shared" si="85"/>
        <v/>
      </c>
      <c r="N470" s="8"/>
      <c r="O470" s="26" t="str">
        <f t="shared" si="86"/>
        <v/>
      </c>
      <c r="P470" s="23" t="str">
        <f t="shared" si="90"/>
        <v/>
      </c>
      <c r="Q470" s="23" t="str">
        <f t="shared" si="91"/>
        <v/>
      </c>
      <c r="R470" s="23" t="str">
        <f t="shared" si="87"/>
        <v/>
      </c>
      <c r="S470" s="23" t="str">
        <f t="shared" si="88"/>
        <v/>
      </c>
      <c r="T470" s="23" t="str">
        <f t="shared" si="89"/>
        <v/>
      </c>
      <c r="U470" s="10"/>
    </row>
    <row r="471" spans="3:21" x14ac:dyDescent="0.25">
      <c r="C471" s="8"/>
      <c r="D471" s="8"/>
      <c r="E471" s="8"/>
      <c r="F471" s="8"/>
      <c r="G471" s="25" t="str">
        <f t="shared" si="82"/>
        <v/>
      </c>
      <c r="H471" s="8"/>
      <c r="I471" s="26" t="str">
        <f t="shared" si="83"/>
        <v/>
      </c>
      <c r="J471" s="8"/>
      <c r="K471" s="26" t="str">
        <f t="shared" si="84"/>
        <v/>
      </c>
      <c r="L471" s="8"/>
      <c r="M471" s="26" t="str">
        <f t="shared" si="85"/>
        <v/>
      </c>
      <c r="N471" s="8"/>
      <c r="O471" s="26" t="str">
        <f t="shared" si="86"/>
        <v/>
      </c>
      <c r="P471" s="23" t="str">
        <f t="shared" si="90"/>
        <v/>
      </c>
      <c r="Q471" s="23" t="str">
        <f t="shared" si="91"/>
        <v/>
      </c>
      <c r="R471" s="23" t="str">
        <f t="shared" si="87"/>
        <v/>
      </c>
      <c r="S471" s="23" t="str">
        <f t="shared" si="88"/>
        <v/>
      </c>
      <c r="T471" s="23" t="str">
        <f t="shared" si="89"/>
        <v/>
      </c>
      <c r="U471" s="10"/>
    </row>
    <row r="472" spans="3:21" x14ac:dyDescent="0.25">
      <c r="C472" s="8"/>
      <c r="D472" s="8"/>
      <c r="E472" s="8"/>
      <c r="F472" s="8"/>
      <c r="G472" s="25" t="str">
        <f t="shared" si="82"/>
        <v/>
      </c>
      <c r="H472" s="8"/>
      <c r="I472" s="26" t="str">
        <f t="shared" si="83"/>
        <v/>
      </c>
      <c r="J472" s="8"/>
      <c r="K472" s="26" t="str">
        <f t="shared" si="84"/>
        <v/>
      </c>
      <c r="L472" s="8"/>
      <c r="M472" s="26" t="str">
        <f t="shared" si="85"/>
        <v/>
      </c>
      <c r="N472" s="8"/>
      <c r="O472" s="26" t="str">
        <f t="shared" si="86"/>
        <v/>
      </c>
      <c r="P472" s="23" t="str">
        <f t="shared" si="90"/>
        <v/>
      </c>
      <c r="Q472" s="23" t="str">
        <f t="shared" si="91"/>
        <v/>
      </c>
      <c r="R472" s="23" t="str">
        <f t="shared" si="87"/>
        <v/>
      </c>
      <c r="S472" s="23" t="str">
        <f t="shared" si="88"/>
        <v/>
      </c>
      <c r="T472" s="23" t="str">
        <f t="shared" si="89"/>
        <v/>
      </c>
      <c r="U472" s="10"/>
    </row>
    <row r="473" spans="3:21" x14ac:dyDescent="0.25">
      <c r="C473" s="8"/>
      <c r="D473" s="8"/>
      <c r="E473" s="8"/>
      <c r="F473" s="8"/>
      <c r="G473" s="25" t="str">
        <f t="shared" si="82"/>
        <v/>
      </c>
      <c r="H473" s="8"/>
      <c r="I473" s="26" t="str">
        <f t="shared" si="83"/>
        <v/>
      </c>
      <c r="J473" s="8"/>
      <c r="K473" s="26" t="str">
        <f t="shared" si="84"/>
        <v/>
      </c>
      <c r="L473" s="8"/>
      <c r="M473" s="26" t="str">
        <f t="shared" si="85"/>
        <v/>
      </c>
      <c r="N473" s="8"/>
      <c r="O473" s="26" t="str">
        <f t="shared" si="86"/>
        <v/>
      </c>
      <c r="P473" s="23" t="str">
        <f t="shared" si="90"/>
        <v/>
      </c>
      <c r="Q473" s="23" t="str">
        <f t="shared" si="91"/>
        <v/>
      </c>
      <c r="R473" s="23" t="str">
        <f t="shared" si="87"/>
        <v/>
      </c>
      <c r="S473" s="23" t="str">
        <f t="shared" si="88"/>
        <v/>
      </c>
      <c r="T473" s="23" t="str">
        <f t="shared" si="89"/>
        <v/>
      </c>
      <c r="U473" s="10"/>
    </row>
    <row r="474" spans="3:21" x14ac:dyDescent="0.25">
      <c r="C474" s="8"/>
      <c r="D474" s="8"/>
      <c r="E474" s="8"/>
      <c r="F474" s="8"/>
      <c r="G474" s="25" t="str">
        <f t="shared" si="82"/>
        <v/>
      </c>
      <c r="H474" s="8"/>
      <c r="I474" s="26" t="str">
        <f t="shared" si="83"/>
        <v/>
      </c>
      <c r="J474" s="8"/>
      <c r="K474" s="26" t="str">
        <f t="shared" si="84"/>
        <v/>
      </c>
      <c r="L474" s="8"/>
      <c r="M474" s="26" t="str">
        <f t="shared" si="85"/>
        <v/>
      </c>
      <c r="N474" s="8"/>
      <c r="O474" s="26" t="str">
        <f t="shared" si="86"/>
        <v/>
      </c>
      <c r="P474" s="23" t="str">
        <f t="shared" si="90"/>
        <v/>
      </c>
      <c r="Q474" s="23" t="str">
        <f t="shared" si="91"/>
        <v/>
      </c>
      <c r="R474" s="23" t="str">
        <f t="shared" si="87"/>
        <v/>
      </c>
      <c r="S474" s="23" t="str">
        <f t="shared" si="88"/>
        <v/>
      </c>
      <c r="T474" s="23" t="str">
        <f t="shared" si="89"/>
        <v/>
      </c>
      <c r="U474" s="10"/>
    </row>
    <row r="475" spans="3:21" x14ac:dyDescent="0.25">
      <c r="C475" s="8"/>
      <c r="D475" s="8"/>
      <c r="E475" s="8"/>
      <c r="F475" s="8"/>
      <c r="G475" s="25" t="str">
        <f t="shared" si="82"/>
        <v/>
      </c>
      <c r="H475" s="8"/>
      <c r="I475" s="26" t="str">
        <f t="shared" si="83"/>
        <v/>
      </c>
      <c r="J475" s="8"/>
      <c r="K475" s="26" t="str">
        <f t="shared" si="84"/>
        <v/>
      </c>
      <c r="L475" s="8"/>
      <c r="M475" s="26" t="str">
        <f t="shared" si="85"/>
        <v/>
      </c>
      <c r="N475" s="8"/>
      <c r="O475" s="26" t="str">
        <f t="shared" si="86"/>
        <v/>
      </c>
      <c r="P475" s="23" t="str">
        <f t="shared" si="90"/>
        <v/>
      </c>
      <c r="Q475" s="23" t="str">
        <f t="shared" si="91"/>
        <v/>
      </c>
      <c r="R475" s="23" t="str">
        <f t="shared" si="87"/>
        <v/>
      </c>
      <c r="S475" s="23" t="str">
        <f t="shared" si="88"/>
        <v/>
      </c>
      <c r="T475" s="23" t="str">
        <f t="shared" si="89"/>
        <v/>
      </c>
      <c r="U475" s="10"/>
    </row>
    <row r="476" spans="3:21" x14ac:dyDescent="0.25">
      <c r="C476" s="8"/>
      <c r="D476" s="8"/>
      <c r="E476" s="8"/>
      <c r="F476" s="8"/>
      <c r="G476" s="25" t="str">
        <f t="shared" si="82"/>
        <v/>
      </c>
      <c r="H476" s="8"/>
      <c r="I476" s="26" t="str">
        <f t="shared" si="83"/>
        <v/>
      </c>
      <c r="J476" s="8"/>
      <c r="K476" s="26" t="str">
        <f t="shared" si="84"/>
        <v/>
      </c>
      <c r="L476" s="8"/>
      <c r="M476" s="26" t="str">
        <f t="shared" si="85"/>
        <v/>
      </c>
      <c r="N476" s="8"/>
      <c r="O476" s="26" t="str">
        <f t="shared" si="86"/>
        <v/>
      </c>
      <c r="P476" s="23" t="str">
        <f t="shared" si="90"/>
        <v/>
      </c>
      <c r="Q476" s="23" t="str">
        <f t="shared" si="91"/>
        <v/>
      </c>
      <c r="R476" s="23" t="str">
        <f t="shared" si="87"/>
        <v/>
      </c>
      <c r="S476" s="23" t="str">
        <f t="shared" si="88"/>
        <v/>
      </c>
      <c r="T476" s="23" t="str">
        <f t="shared" si="89"/>
        <v/>
      </c>
      <c r="U476" s="10"/>
    </row>
    <row r="477" spans="3:21" x14ac:dyDescent="0.25">
      <c r="C477" s="8"/>
      <c r="D477" s="8"/>
      <c r="E477" s="8"/>
      <c r="F477" s="8"/>
      <c r="G477" s="25" t="str">
        <f t="shared" si="82"/>
        <v/>
      </c>
      <c r="H477" s="8"/>
      <c r="I477" s="26" t="str">
        <f t="shared" si="83"/>
        <v/>
      </c>
      <c r="J477" s="8"/>
      <c r="K477" s="26" t="str">
        <f t="shared" si="84"/>
        <v/>
      </c>
      <c r="L477" s="8"/>
      <c r="M477" s="26" t="str">
        <f t="shared" si="85"/>
        <v/>
      </c>
      <c r="N477" s="8"/>
      <c r="O477" s="26" t="str">
        <f t="shared" si="86"/>
        <v/>
      </c>
      <c r="P477" s="23" t="str">
        <f t="shared" si="90"/>
        <v/>
      </c>
      <c r="Q477" s="23" t="str">
        <f t="shared" si="91"/>
        <v/>
      </c>
      <c r="R477" s="23" t="str">
        <f t="shared" si="87"/>
        <v/>
      </c>
      <c r="S477" s="23" t="str">
        <f t="shared" si="88"/>
        <v/>
      </c>
      <c r="T477" s="23" t="str">
        <f t="shared" si="89"/>
        <v/>
      </c>
      <c r="U477" s="10"/>
    </row>
    <row r="478" spans="3:21" x14ac:dyDescent="0.25">
      <c r="C478" s="8"/>
      <c r="D478" s="8"/>
      <c r="E478" s="8"/>
      <c r="F478" s="8"/>
      <c r="G478" s="25" t="str">
        <f t="shared" si="82"/>
        <v/>
      </c>
      <c r="H478" s="8"/>
      <c r="I478" s="26" t="str">
        <f t="shared" si="83"/>
        <v/>
      </c>
      <c r="J478" s="8"/>
      <c r="K478" s="26" t="str">
        <f t="shared" si="84"/>
        <v/>
      </c>
      <c r="L478" s="8"/>
      <c r="M478" s="26" t="str">
        <f t="shared" si="85"/>
        <v/>
      </c>
      <c r="N478" s="8"/>
      <c r="O478" s="26" t="str">
        <f t="shared" si="86"/>
        <v/>
      </c>
      <c r="P478" s="23" t="str">
        <f t="shared" si="90"/>
        <v/>
      </c>
      <c r="Q478" s="23" t="str">
        <f t="shared" si="91"/>
        <v/>
      </c>
      <c r="R478" s="23" t="str">
        <f t="shared" si="87"/>
        <v/>
      </c>
      <c r="S478" s="23" t="str">
        <f t="shared" si="88"/>
        <v/>
      </c>
      <c r="T478" s="23" t="str">
        <f t="shared" si="89"/>
        <v/>
      </c>
      <c r="U478" s="10"/>
    </row>
    <row r="479" spans="3:21" x14ac:dyDescent="0.25">
      <c r="C479" s="8"/>
      <c r="D479" s="8"/>
      <c r="E479" s="8"/>
      <c r="F479" s="8"/>
      <c r="G479" s="25" t="str">
        <f t="shared" ref="G479:G503" si="92">IF(F479="","",VLOOKUP(F479,$Y$4:$Z$15,2,TRUE))</f>
        <v/>
      </c>
      <c r="H479" s="8"/>
      <c r="I479" s="26" t="str">
        <f t="shared" ref="I479:I503" si="93">IF(H479="","",VLOOKUP(H479,$Y$4:$Z$15,2,TRUE))</f>
        <v/>
      </c>
      <c r="J479" s="8"/>
      <c r="K479" s="26" t="str">
        <f t="shared" ref="K479:K503" si="94">IF(J479="","",VLOOKUP(J479,$Y$4:$Z$15,2,TRUE))</f>
        <v/>
      </c>
      <c r="L479" s="8"/>
      <c r="M479" s="26" t="str">
        <f t="shared" ref="M479:M503" si="95">IF(L479="","",VLOOKUP(L479,$Y$4:$Z$15,2,TRUE))</f>
        <v/>
      </c>
      <c r="N479" s="8"/>
      <c r="O479" s="26" t="str">
        <f t="shared" ref="O479:O503" si="96">IF(N479="","",VLOOKUP(N479,$Y$4:$Z$15,2,TRUE))</f>
        <v/>
      </c>
      <c r="P479" s="23" t="str">
        <f t="shared" si="90"/>
        <v/>
      </c>
      <c r="Q479" s="23" t="str">
        <f t="shared" si="91"/>
        <v/>
      </c>
      <c r="R479" s="23" t="str">
        <f t="shared" ref="R479:R542" si="97">IF(Q479="","",VLOOKUP(Q479,$W$4:$X$15,2,TRUE))</f>
        <v/>
      </c>
      <c r="S479" s="23" t="str">
        <f t="shared" ref="S479:S542" si="98">IF(P479="","",RANK(P479,$P$5:$P$998,0))</f>
        <v/>
      </c>
      <c r="T479" s="23" t="str">
        <f t="shared" ref="T479:T542" si="99">IFERROR(VLOOKUP(R479,$AA$4:$AB$15,2,FALSE),"")</f>
        <v/>
      </c>
      <c r="U479" s="10"/>
    </row>
    <row r="480" spans="3:21" x14ac:dyDescent="0.25">
      <c r="C480" s="8"/>
      <c r="D480" s="8"/>
      <c r="E480" s="8"/>
      <c r="F480" s="8"/>
      <c r="G480" s="25" t="str">
        <f t="shared" si="92"/>
        <v/>
      </c>
      <c r="H480" s="8"/>
      <c r="I480" s="26" t="str">
        <f t="shared" si="93"/>
        <v/>
      </c>
      <c r="J480" s="8"/>
      <c r="K480" s="26" t="str">
        <f t="shared" si="94"/>
        <v/>
      </c>
      <c r="L480" s="8"/>
      <c r="M480" s="26" t="str">
        <f t="shared" si="95"/>
        <v/>
      </c>
      <c r="N480" s="8"/>
      <c r="O480" s="26" t="str">
        <f t="shared" si="96"/>
        <v/>
      </c>
      <c r="P480" s="23" t="str">
        <f t="shared" si="90"/>
        <v/>
      </c>
      <c r="Q480" s="23" t="str">
        <f t="shared" si="91"/>
        <v/>
      </c>
      <c r="R480" s="23" t="str">
        <f t="shared" si="97"/>
        <v/>
      </c>
      <c r="S480" s="23" t="str">
        <f t="shared" si="98"/>
        <v/>
      </c>
      <c r="T480" s="23" t="str">
        <f t="shared" si="99"/>
        <v/>
      </c>
      <c r="U480" s="10"/>
    </row>
    <row r="481" spans="3:21" x14ac:dyDescent="0.25">
      <c r="C481" s="8"/>
      <c r="D481" s="8"/>
      <c r="E481" s="8"/>
      <c r="F481" s="8"/>
      <c r="G481" s="25" t="str">
        <f t="shared" si="92"/>
        <v/>
      </c>
      <c r="H481" s="8"/>
      <c r="I481" s="26" t="str">
        <f t="shared" si="93"/>
        <v/>
      </c>
      <c r="J481" s="8"/>
      <c r="K481" s="26" t="str">
        <f t="shared" si="94"/>
        <v/>
      </c>
      <c r="L481" s="8"/>
      <c r="M481" s="26" t="str">
        <f t="shared" si="95"/>
        <v/>
      </c>
      <c r="N481" s="8"/>
      <c r="O481" s="26" t="str">
        <f t="shared" si="96"/>
        <v/>
      </c>
      <c r="P481" s="23" t="str">
        <f t="shared" si="90"/>
        <v/>
      </c>
      <c r="Q481" s="23" t="str">
        <f t="shared" si="91"/>
        <v/>
      </c>
      <c r="R481" s="23" t="str">
        <f t="shared" si="97"/>
        <v/>
      </c>
      <c r="S481" s="23" t="str">
        <f t="shared" si="98"/>
        <v/>
      </c>
      <c r="T481" s="23" t="str">
        <f t="shared" si="99"/>
        <v/>
      </c>
      <c r="U481" s="10"/>
    </row>
    <row r="482" spans="3:21" x14ac:dyDescent="0.25">
      <c r="C482" s="8"/>
      <c r="D482" s="8"/>
      <c r="E482" s="8"/>
      <c r="F482" s="8"/>
      <c r="G482" s="25" t="str">
        <f t="shared" si="92"/>
        <v/>
      </c>
      <c r="H482" s="8"/>
      <c r="I482" s="26" t="str">
        <f t="shared" si="93"/>
        <v/>
      </c>
      <c r="J482" s="8"/>
      <c r="K482" s="26" t="str">
        <f t="shared" si="94"/>
        <v/>
      </c>
      <c r="L482" s="8"/>
      <c r="M482" s="26" t="str">
        <f t="shared" si="95"/>
        <v/>
      </c>
      <c r="N482" s="8"/>
      <c r="O482" s="26" t="str">
        <f t="shared" si="96"/>
        <v/>
      </c>
      <c r="P482" s="23" t="str">
        <f t="shared" si="90"/>
        <v/>
      </c>
      <c r="Q482" s="23" t="str">
        <f t="shared" si="91"/>
        <v/>
      </c>
      <c r="R482" s="23" t="str">
        <f t="shared" si="97"/>
        <v/>
      </c>
      <c r="S482" s="23" t="str">
        <f t="shared" si="98"/>
        <v/>
      </c>
      <c r="T482" s="23" t="str">
        <f t="shared" si="99"/>
        <v/>
      </c>
      <c r="U482" s="10"/>
    </row>
    <row r="483" spans="3:21" x14ac:dyDescent="0.25">
      <c r="C483" s="8"/>
      <c r="D483" s="8"/>
      <c r="E483" s="8"/>
      <c r="F483" s="8"/>
      <c r="G483" s="25" t="str">
        <f t="shared" si="92"/>
        <v/>
      </c>
      <c r="H483" s="8"/>
      <c r="I483" s="26" t="str">
        <f t="shared" si="93"/>
        <v/>
      </c>
      <c r="J483" s="8"/>
      <c r="K483" s="26" t="str">
        <f t="shared" si="94"/>
        <v/>
      </c>
      <c r="L483" s="8"/>
      <c r="M483" s="26" t="str">
        <f t="shared" si="95"/>
        <v/>
      </c>
      <c r="N483" s="8"/>
      <c r="O483" s="26" t="str">
        <f t="shared" si="96"/>
        <v/>
      </c>
      <c r="P483" s="23" t="str">
        <f t="shared" si="90"/>
        <v/>
      </c>
      <c r="Q483" s="23" t="str">
        <f t="shared" si="91"/>
        <v/>
      </c>
      <c r="R483" s="23" t="str">
        <f t="shared" si="97"/>
        <v/>
      </c>
      <c r="S483" s="23" t="str">
        <f t="shared" si="98"/>
        <v/>
      </c>
      <c r="T483" s="23" t="str">
        <f t="shared" si="99"/>
        <v/>
      </c>
      <c r="U483" s="10"/>
    </row>
    <row r="484" spans="3:21" x14ac:dyDescent="0.25">
      <c r="C484" s="8"/>
      <c r="D484" s="8"/>
      <c r="E484" s="8"/>
      <c r="F484" s="8"/>
      <c r="G484" s="25" t="str">
        <f t="shared" si="92"/>
        <v/>
      </c>
      <c r="H484" s="8"/>
      <c r="I484" s="26" t="str">
        <f t="shared" si="93"/>
        <v/>
      </c>
      <c r="J484" s="8"/>
      <c r="K484" s="26" t="str">
        <f t="shared" si="94"/>
        <v/>
      </c>
      <c r="L484" s="8"/>
      <c r="M484" s="26" t="str">
        <f t="shared" si="95"/>
        <v/>
      </c>
      <c r="N484" s="8"/>
      <c r="O484" s="26" t="str">
        <f t="shared" si="96"/>
        <v/>
      </c>
      <c r="P484" s="23" t="str">
        <f t="shared" si="90"/>
        <v/>
      </c>
      <c r="Q484" s="23" t="str">
        <f t="shared" si="91"/>
        <v/>
      </c>
      <c r="R484" s="23" t="str">
        <f t="shared" si="97"/>
        <v/>
      </c>
      <c r="S484" s="23" t="str">
        <f t="shared" si="98"/>
        <v/>
      </c>
      <c r="T484" s="23" t="str">
        <f t="shared" si="99"/>
        <v/>
      </c>
      <c r="U484" s="10"/>
    </row>
    <row r="485" spans="3:21" x14ac:dyDescent="0.25">
      <c r="C485" s="8"/>
      <c r="D485" s="8"/>
      <c r="E485" s="8"/>
      <c r="F485" s="8"/>
      <c r="G485" s="25" t="str">
        <f t="shared" si="92"/>
        <v/>
      </c>
      <c r="H485" s="8"/>
      <c r="I485" s="26" t="str">
        <f t="shared" si="93"/>
        <v/>
      </c>
      <c r="J485" s="8"/>
      <c r="K485" s="26" t="str">
        <f t="shared" si="94"/>
        <v/>
      </c>
      <c r="L485" s="8"/>
      <c r="M485" s="26" t="str">
        <f t="shared" si="95"/>
        <v/>
      </c>
      <c r="N485" s="8"/>
      <c r="O485" s="26" t="str">
        <f t="shared" si="96"/>
        <v/>
      </c>
      <c r="P485" s="23" t="str">
        <f t="shared" si="90"/>
        <v/>
      </c>
      <c r="Q485" s="23" t="str">
        <f t="shared" si="91"/>
        <v/>
      </c>
      <c r="R485" s="23" t="str">
        <f t="shared" si="97"/>
        <v/>
      </c>
      <c r="S485" s="23" t="str">
        <f t="shared" si="98"/>
        <v/>
      </c>
      <c r="T485" s="23" t="str">
        <f t="shared" si="99"/>
        <v/>
      </c>
      <c r="U485" s="10"/>
    </row>
    <row r="486" spans="3:21" x14ac:dyDescent="0.25">
      <c r="C486" s="8"/>
      <c r="D486" s="8"/>
      <c r="E486" s="8"/>
      <c r="F486" s="8"/>
      <c r="G486" s="25" t="str">
        <f t="shared" si="92"/>
        <v/>
      </c>
      <c r="H486" s="8"/>
      <c r="I486" s="26" t="str">
        <f t="shared" si="93"/>
        <v/>
      </c>
      <c r="J486" s="8"/>
      <c r="K486" s="26" t="str">
        <f t="shared" si="94"/>
        <v/>
      </c>
      <c r="L486" s="8"/>
      <c r="M486" s="26" t="str">
        <f t="shared" si="95"/>
        <v/>
      </c>
      <c r="N486" s="8"/>
      <c r="O486" s="26" t="str">
        <f t="shared" si="96"/>
        <v/>
      </c>
      <c r="P486" s="23" t="str">
        <f t="shared" si="90"/>
        <v/>
      </c>
      <c r="Q486" s="23" t="str">
        <f t="shared" si="91"/>
        <v/>
      </c>
      <c r="R486" s="23" t="str">
        <f t="shared" si="97"/>
        <v/>
      </c>
      <c r="S486" s="23" t="str">
        <f t="shared" si="98"/>
        <v/>
      </c>
      <c r="T486" s="23" t="str">
        <f t="shared" si="99"/>
        <v/>
      </c>
      <c r="U486" s="10"/>
    </row>
    <row r="487" spans="3:21" x14ac:dyDescent="0.25">
      <c r="C487" s="8"/>
      <c r="D487" s="8"/>
      <c r="E487" s="8"/>
      <c r="F487" s="8"/>
      <c r="G487" s="25" t="str">
        <f t="shared" si="92"/>
        <v/>
      </c>
      <c r="H487" s="8"/>
      <c r="I487" s="26" t="str">
        <f t="shared" si="93"/>
        <v/>
      </c>
      <c r="J487" s="8"/>
      <c r="K487" s="26" t="str">
        <f t="shared" si="94"/>
        <v/>
      </c>
      <c r="L487" s="8"/>
      <c r="M487" s="26" t="str">
        <f t="shared" si="95"/>
        <v/>
      </c>
      <c r="N487" s="8"/>
      <c r="O487" s="26" t="str">
        <f t="shared" si="96"/>
        <v/>
      </c>
      <c r="P487" s="23" t="str">
        <f t="shared" si="90"/>
        <v/>
      </c>
      <c r="Q487" s="23" t="str">
        <f t="shared" si="91"/>
        <v/>
      </c>
      <c r="R487" s="23" t="str">
        <f t="shared" si="97"/>
        <v/>
      </c>
      <c r="S487" s="23" t="str">
        <f t="shared" si="98"/>
        <v/>
      </c>
      <c r="T487" s="23" t="str">
        <f t="shared" si="99"/>
        <v/>
      </c>
      <c r="U487" s="10"/>
    </row>
    <row r="488" spans="3:21" x14ac:dyDescent="0.25">
      <c r="C488" s="8"/>
      <c r="D488" s="8"/>
      <c r="E488" s="8"/>
      <c r="F488" s="8"/>
      <c r="G488" s="25" t="str">
        <f t="shared" si="92"/>
        <v/>
      </c>
      <c r="H488" s="8"/>
      <c r="I488" s="26" t="str">
        <f t="shared" si="93"/>
        <v/>
      </c>
      <c r="J488" s="8"/>
      <c r="K488" s="26" t="str">
        <f t="shared" si="94"/>
        <v/>
      </c>
      <c r="L488" s="8"/>
      <c r="M488" s="26" t="str">
        <f t="shared" si="95"/>
        <v/>
      </c>
      <c r="N488" s="8"/>
      <c r="O488" s="26" t="str">
        <f t="shared" si="96"/>
        <v/>
      </c>
      <c r="P488" s="23" t="str">
        <f t="shared" si="90"/>
        <v/>
      </c>
      <c r="Q488" s="23" t="str">
        <f t="shared" si="91"/>
        <v/>
      </c>
      <c r="R488" s="23" t="str">
        <f t="shared" si="97"/>
        <v/>
      </c>
      <c r="S488" s="23" t="str">
        <f t="shared" si="98"/>
        <v/>
      </c>
      <c r="T488" s="23" t="str">
        <f t="shared" si="99"/>
        <v/>
      </c>
      <c r="U488" s="10"/>
    </row>
    <row r="489" spans="3:21" x14ac:dyDescent="0.25">
      <c r="C489" s="8"/>
      <c r="D489" s="8"/>
      <c r="E489" s="8"/>
      <c r="F489" s="8"/>
      <c r="G489" s="25" t="str">
        <f t="shared" si="92"/>
        <v/>
      </c>
      <c r="H489" s="8"/>
      <c r="I489" s="26" t="str">
        <f t="shared" si="93"/>
        <v/>
      </c>
      <c r="J489" s="8"/>
      <c r="K489" s="26" t="str">
        <f t="shared" si="94"/>
        <v/>
      </c>
      <c r="L489" s="8"/>
      <c r="M489" s="26" t="str">
        <f t="shared" si="95"/>
        <v/>
      </c>
      <c r="N489" s="8"/>
      <c r="O489" s="26" t="str">
        <f t="shared" si="96"/>
        <v/>
      </c>
      <c r="P489" s="23" t="str">
        <f t="shared" si="90"/>
        <v/>
      </c>
      <c r="Q489" s="23" t="str">
        <f t="shared" si="91"/>
        <v/>
      </c>
      <c r="R489" s="23" t="str">
        <f t="shared" si="97"/>
        <v/>
      </c>
      <c r="S489" s="23" t="str">
        <f t="shared" si="98"/>
        <v/>
      </c>
      <c r="T489" s="23" t="str">
        <f t="shared" si="99"/>
        <v/>
      </c>
      <c r="U489" s="10"/>
    </row>
    <row r="490" spans="3:21" x14ac:dyDescent="0.25">
      <c r="C490" s="8"/>
      <c r="D490" s="8"/>
      <c r="E490" s="8"/>
      <c r="F490" s="8"/>
      <c r="G490" s="25" t="str">
        <f t="shared" si="92"/>
        <v/>
      </c>
      <c r="H490" s="8"/>
      <c r="I490" s="26" t="str">
        <f t="shared" si="93"/>
        <v/>
      </c>
      <c r="J490" s="8"/>
      <c r="K490" s="26" t="str">
        <f t="shared" si="94"/>
        <v/>
      </c>
      <c r="L490" s="8"/>
      <c r="M490" s="26" t="str">
        <f t="shared" si="95"/>
        <v/>
      </c>
      <c r="N490" s="8"/>
      <c r="O490" s="26" t="str">
        <f t="shared" si="96"/>
        <v/>
      </c>
      <c r="P490" s="23" t="str">
        <f t="shared" si="90"/>
        <v/>
      </c>
      <c r="Q490" s="23" t="str">
        <f t="shared" si="91"/>
        <v/>
      </c>
      <c r="R490" s="23" t="str">
        <f t="shared" si="97"/>
        <v/>
      </c>
      <c r="S490" s="23" t="str">
        <f t="shared" si="98"/>
        <v/>
      </c>
      <c r="T490" s="23" t="str">
        <f t="shared" si="99"/>
        <v/>
      </c>
      <c r="U490" s="10"/>
    </row>
    <row r="491" spans="3:21" x14ac:dyDescent="0.25">
      <c r="C491" s="8"/>
      <c r="D491" s="8"/>
      <c r="E491" s="8"/>
      <c r="F491" s="8"/>
      <c r="G491" s="25" t="str">
        <f t="shared" si="92"/>
        <v/>
      </c>
      <c r="H491" s="8"/>
      <c r="I491" s="26" t="str">
        <f t="shared" si="93"/>
        <v/>
      </c>
      <c r="J491" s="8"/>
      <c r="K491" s="26" t="str">
        <f t="shared" si="94"/>
        <v/>
      </c>
      <c r="L491" s="8"/>
      <c r="M491" s="26" t="str">
        <f t="shared" si="95"/>
        <v/>
      </c>
      <c r="N491" s="8"/>
      <c r="O491" s="26" t="str">
        <f t="shared" si="96"/>
        <v/>
      </c>
      <c r="P491" s="23" t="str">
        <f t="shared" si="90"/>
        <v/>
      </c>
      <c r="Q491" s="23" t="str">
        <f t="shared" si="91"/>
        <v/>
      </c>
      <c r="R491" s="23" t="str">
        <f t="shared" si="97"/>
        <v/>
      </c>
      <c r="S491" s="23" t="str">
        <f t="shared" si="98"/>
        <v/>
      </c>
      <c r="T491" s="23" t="str">
        <f t="shared" si="99"/>
        <v/>
      </c>
      <c r="U491" s="10"/>
    </row>
    <row r="492" spans="3:21" x14ac:dyDescent="0.25">
      <c r="C492" s="8"/>
      <c r="D492" s="8"/>
      <c r="E492" s="8"/>
      <c r="F492" s="8"/>
      <c r="G492" s="25" t="str">
        <f t="shared" si="92"/>
        <v/>
      </c>
      <c r="H492" s="8"/>
      <c r="I492" s="26" t="str">
        <f t="shared" si="93"/>
        <v/>
      </c>
      <c r="J492" s="8"/>
      <c r="K492" s="26" t="str">
        <f t="shared" si="94"/>
        <v/>
      </c>
      <c r="L492" s="8"/>
      <c r="M492" s="26" t="str">
        <f t="shared" si="95"/>
        <v/>
      </c>
      <c r="N492" s="8"/>
      <c r="O492" s="26" t="str">
        <f t="shared" si="96"/>
        <v/>
      </c>
      <c r="P492" s="23" t="str">
        <f t="shared" si="90"/>
        <v/>
      </c>
      <c r="Q492" s="23" t="str">
        <f t="shared" si="91"/>
        <v/>
      </c>
      <c r="R492" s="23" t="str">
        <f t="shared" si="97"/>
        <v/>
      </c>
      <c r="S492" s="23" t="str">
        <f t="shared" si="98"/>
        <v/>
      </c>
      <c r="T492" s="23" t="str">
        <f t="shared" si="99"/>
        <v/>
      </c>
      <c r="U492" s="10"/>
    </row>
    <row r="493" spans="3:21" x14ac:dyDescent="0.25">
      <c r="C493" s="8"/>
      <c r="D493" s="8"/>
      <c r="E493" s="8"/>
      <c r="F493" s="8"/>
      <c r="G493" s="25" t="str">
        <f t="shared" si="92"/>
        <v/>
      </c>
      <c r="H493" s="8"/>
      <c r="I493" s="26" t="str">
        <f t="shared" si="93"/>
        <v/>
      </c>
      <c r="J493" s="8"/>
      <c r="K493" s="26" t="str">
        <f t="shared" si="94"/>
        <v/>
      </c>
      <c r="L493" s="8"/>
      <c r="M493" s="26" t="str">
        <f t="shared" si="95"/>
        <v/>
      </c>
      <c r="N493" s="8"/>
      <c r="O493" s="26" t="str">
        <f t="shared" si="96"/>
        <v/>
      </c>
      <c r="P493" s="23" t="str">
        <f t="shared" si="90"/>
        <v/>
      </c>
      <c r="Q493" s="23" t="str">
        <f t="shared" si="91"/>
        <v/>
      </c>
      <c r="R493" s="23" t="str">
        <f t="shared" si="97"/>
        <v/>
      </c>
      <c r="S493" s="23" t="str">
        <f t="shared" si="98"/>
        <v/>
      </c>
      <c r="T493" s="23" t="str">
        <f t="shared" si="99"/>
        <v/>
      </c>
      <c r="U493" s="10"/>
    </row>
    <row r="494" spans="3:21" x14ac:dyDescent="0.25">
      <c r="C494" s="8"/>
      <c r="D494" s="8"/>
      <c r="E494" s="8"/>
      <c r="F494" s="8"/>
      <c r="G494" s="25" t="str">
        <f t="shared" si="92"/>
        <v/>
      </c>
      <c r="H494" s="8"/>
      <c r="I494" s="26" t="str">
        <f t="shared" si="93"/>
        <v/>
      </c>
      <c r="J494" s="8"/>
      <c r="K494" s="26" t="str">
        <f t="shared" si="94"/>
        <v/>
      </c>
      <c r="L494" s="8"/>
      <c r="M494" s="26" t="str">
        <f t="shared" si="95"/>
        <v/>
      </c>
      <c r="N494" s="8"/>
      <c r="O494" s="26" t="str">
        <f t="shared" si="96"/>
        <v/>
      </c>
      <c r="P494" s="23" t="str">
        <f t="shared" si="90"/>
        <v/>
      </c>
      <c r="Q494" s="23" t="str">
        <f t="shared" si="91"/>
        <v/>
      </c>
      <c r="R494" s="23" t="str">
        <f t="shared" si="97"/>
        <v/>
      </c>
      <c r="S494" s="23" t="str">
        <f t="shared" si="98"/>
        <v/>
      </c>
      <c r="T494" s="23" t="str">
        <f t="shared" si="99"/>
        <v/>
      </c>
      <c r="U494" s="10"/>
    </row>
    <row r="495" spans="3:21" x14ac:dyDescent="0.25">
      <c r="C495" s="8"/>
      <c r="D495" s="8"/>
      <c r="E495" s="8"/>
      <c r="F495" s="8"/>
      <c r="G495" s="25" t="str">
        <f t="shared" si="92"/>
        <v/>
      </c>
      <c r="H495" s="8"/>
      <c r="I495" s="26" t="str">
        <f t="shared" si="93"/>
        <v/>
      </c>
      <c r="J495" s="8"/>
      <c r="K495" s="26" t="str">
        <f t="shared" si="94"/>
        <v/>
      </c>
      <c r="L495" s="8"/>
      <c r="M495" s="26" t="str">
        <f t="shared" si="95"/>
        <v/>
      </c>
      <c r="N495" s="8"/>
      <c r="O495" s="26" t="str">
        <f t="shared" si="96"/>
        <v/>
      </c>
      <c r="P495" s="23" t="str">
        <f t="shared" si="90"/>
        <v/>
      </c>
      <c r="Q495" s="23" t="str">
        <f t="shared" si="91"/>
        <v/>
      </c>
      <c r="R495" s="23" t="str">
        <f t="shared" si="97"/>
        <v/>
      </c>
      <c r="S495" s="23" t="str">
        <f t="shared" si="98"/>
        <v/>
      </c>
      <c r="T495" s="23" t="str">
        <f t="shared" si="99"/>
        <v/>
      </c>
      <c r="U495" s="10"/>
    </row>
    <row r="496" spans="3:21" x14ac:dyDescent="0.25">
      <c r="C496" s="8"/>
      <c r="D496" s="8"/>
      <c r="E496" s="8"/>
      <c r="F496" s="8"/>
      <c r="G496" s="25" t="str">
        <f t="shared" si="92"/>
        <v/>
      </c>
      <c r="H496" s="8"/>
      <c r="I496" s="26" t="str">
        <f t="shared" si="93"/>
        <v/>
      </c>
      <c r="J496" s="8"/>
      <c r="K496" s="26" t="str">
        <f t="shared" si="94"/>
        <v/>
      </c>
      <c r="L496" s="8"/>
      <c r="M496" s="26" t="str">
        <f t="shared" si="95"/>
        <v/>
      </c>
      <c r="N496" s="8"/>
      <c r="O496" s="26" t="str">
        <f t="shared" si="96"/>
        <v/>
      </c>
      <c r="P496" s="23" t="str">
        <f t="shared" si="90"/>
        <v/>
      </c>
      <c r="Q496" s="23" t="str">
        <f t="shared" si="91"/>
        <v/>
      </c>
      <c r="R496" s="23" t="str">
        <f t="shared" si="97"/>
        <v/>
      </c>
      <c r="S496" s="23" t="str">
        <f t="shared" si="98"/>
        <v/>
      </c>
      <c r="T496" s="23" t="str">
        <f t="shared" si="99"/>
        <v/>
      </c>
      <c r="U496" s="10"/>
    </row>
    <row r="497" spans="3:21" x14ac:dyDescent="0.25">
      <c r="C497" s="8"/>
      <c r="D497" s="8"/>
      <c r="E497" s="8"/>
      <c r="F497" s="8"/>
      <c r="G497" s="25" t="str">
        <f t="shared" si="92"/>
        <v/>
      </c>
      <c r="H497" s="8"/>
      <c r="I497" s="26" t="str">
        <f t="shared" si="93"/>
        <v/>
      </c>
      <c r="J497" s="8"/>
      <c r="K497" s="26" t="str">
        <f t="shared" si="94"/>
        <v/>
      </c>
      <c r="L497" s="8"/>
      <c r="M497" s="26" t="str">
        <f t="shared" si="95"/>
        <v/>
      </c>
      <c r="N497" s="8"/>
      <c r="O497" s="26" t="str">
        <f t="shared" si="96"/>
        <v/>
      </c>
      <c r="P497" s="23" t="str">
        <f t="shared" si="90"/>
        <v/>
      </c>
      <c r="Q497" s="23" t="str">
        <f t="shared" si="91"/>
        <v/>
      </c>
      <c r="R497" s="23" t="str">
        <f t="shared" si="97"/>
        <v/>
      </c>
      <c r="S497" s="23" t="str">
        <f t="shared" si="98"/>
        <v/>
      </c>
      <c r="T497" s="23" t="str">
        <f t="shared" si="99"/>
        <v/>
      </c>
      <c r="U497" s="10"/>
    </row>
    <row r="498" spans="3:21" x14ac:dyDescent="0.25">
      <c r="C498" s="8"/>
      <c r="D498" s="8"/>
      <c r="E498" s="8"/>
      <c r="F498" s="8"/>
      <c r="G498" s="25" t="str">
        <f t="shared" si="92"/>
        <v/>
      </c>
      <c r="H498" s="8"/>
      <c r="I498" s="26" t="str">
        <f t="shared" si="93"/>
        <v/>
      </c>
      <c r="J498" s="8"/>
      <c r="K498" s="26" t="str">
        <f t="shared" si="94"/>
        <v/>
      </c>
      <c r="L498" s="8"/>
      <c r="M498" s="26" t="str">
        <f t="shared" si="95"/>
        <v/>
      </c>
      <c r="N498" s="8"/>
      <c r="O498" s="26" t="str">
        <f t="shared" si="96"/>
        <v/>
      </c>
      <c r="P498" s="23" t="str">
        <f t="shared" si="90"/>
        <v/>
      </c>
      <c r="Q498" s="23" t="str">
        <f t="shared" si="91"/>
        <v/>
      </c>
      <c r="R498" s="23" t="str">
        <f t="shared" si="97"/>
        <v/>
      </c>
      <c r="S498" s="23" t="str">
        <f t="shared" si="98"/>
        <v/>
      </c>
      <c r="T498" s="23" t="str">
        <f t="shared" si="99"/>
        <v/>
      </c>
      <c r="U498" s="10"/>
    </row>
    <row r="499" spans="3:21" x14ac:dyDescent="0.25">
      <c r="C499" s="8"/>
      <c r="D499" s="8"/>
      <c r="E499" s="8"/>
      <c r="F499" s="8"/>
      <c r="G499" s="25" t="str">
        <f t="shared" si="92"/>
        <v/>
      </c>
      <c r="H499" s="8"/>
      <c r="I499" s="26" t="str">
        <f t="shared" si="93"/>
        <v/>
      </c>
      <c r="J499" s="8"/>
      <c r="K499" s="26" t="str">
        <f t="shared" si="94"/>
        <v/>
      </c>
      <c r="L499" s="8"/>
      <c r="M499" s="26" t="str">
        <f t="shared" si="95"/>
        <v/>
      </c>
      <c r="N499" s="8"/>
      <c r="O499" s="26" t="str">
        <f t="shared" si="96"/>
        <v/>
      </c>
      <c r="P499" s="23" t="str">
        <f t="shared" si="90"/>
        <v/>
      </c>
      <c r="Q499" s="23" t="str">
        <f t="shared" si="91"/>
        <v/>
      </c>
      <c r="R499" s="23" t="str">
        <f t="shared" si="97"/>
        <v/>
      </c>
      <c r="S499" s="23" t="str">
        <f t="shared" si="98"/>
        <v/>
      </c>
      <c r="T499" s="23" t="str">
        <f t="shared" si="99"/>
        <v/>
      </c>
      <c r="U499" s="10"/>
    </row>
    <row r="500" spans="3:21" x14ac:dyDescent="0.25">
      <c r="C500" s="8"/>
      <c r="D500" s="8"/>
      <c r="E500" s="8"/>
      <c r="F500" s="8"/>
      <c r="G500" s="25" t="str">
        <f t="shared" si="92"/>
        <v/>
      </c>
      <c r="H500" s="8"/>
      <c r="I500" s="26" t="str">
        <f t="shared" si="93"/>
        <v/>
      </c>
      <c r="J500" s="8"/>
      <c r="K500" s="26" t="str">
        <f t="shared" si="94"/>
        <v/>
      </c>
      <c r="L500" s="8"/>
      <c r="M500" s="26" t="str">
        <f t="shared" si="95"/>
        <v/>
      </c>
      <c r="N500" s="8"/>
      <c r="O500" s="26" t="str">
        <f t="shared" si="96"/>
        <v/>
      </c>
      <c r="P500" s="23" t="str">
        <f t="shared" si="90"/>
        <v/>
      </c>
      <c r="Q500" s="23" t="str">
        <f t="shared" si="91"/>
        <v/>
      </c>
      <c r="R500" s="23" t="str">
        <f t="shared" si="97"/>
        <v/>
      </c>
      <c r="S500" s="23" t="str">
        <f t="shared" si="98"/>
        <v/>
      </c>
      <c r="T500" s="23" t="str">
        <f t="shared" si="99"/>
        <v/>
      </c>
      <c r="U500" s="10"/>
    </row>
    <row r="501" spans="3:21" x14ac:dyDescent="0.25">
      <c r="C501" s="8"/>
      <c r="D501" s="8"/>
      <c r="E501" s="8"/>
      <c r="F501" s="8"/>
      <c r="G501" s="25" t="str">
        <f t="shared" si="92"/>
        <v/>
      </c>
      <c r="H501" s="8"/>
      <c r="I501" s="26" t="str">
        <f t="shared" si="93"/>
        <v/>
      </c>
      <c r="J501" s="8"/>
      <c r="K501" s="26" t="str">
        <f t="shared" si="94"/>
        <v/>
      </c>
      <c r="L501" s="8"/>
      <c r="M501" s="26" t="str">
        <f t="shared" si="95"/>
        <v/>
      </c>
      <c r="N501" s="8"/>
      <c r="O501" s="26" t="str">
        <f t="shared" si="96"/>
        <v/>
      </c>
      <c r="P501" s="23" t="str">
        <f t="shared" si="90"/>
        <v/>
      </c>
      <c r="Q501" s="23" t="str">
        <f t="shared" si="91"/>
        <v/>
      </c>
      <c r="R501" s="23" t="str">
        <f t="shared" si="97"/>
        <v/>
      </c>
      <c r="S501" s="23" t="str">
        <f t="shared" si="98"/>
        <v/>
      </c>
      <c r="T501" s="23" t="str">
        <f t="shared" si="99"/>
        <v/>
      </c>
      <c r="U501" s="10"/>
    </row>
    <row r="502" spans="3:21" x14ac:dyDescent="0.25">
      <c r="C502" s="8"/>
      <c r="D502" s="8"/>
      <c r="E502" s="8"/>
      <c r="F502" s="8"/>
      <c r="G502" s="25" t="str">
        <f t="shared" si="92"/>
        <v/>
      </c>
      <c r="H502" s="8"/>
      <c r="I502" s="26" t="str">
        <f t="shared" si="93"/>
        <v/>
      </c>
      <c r="J502" s="8"/>
      <c r="K502" s="26" t="str">
        <f t="shared" si="94"/>
        <v/>
      </c>
      <c r="L502" s="8"/>
      <c r="M502" s="26" t="str">
        <f t="shared" si="95"/>
        <v/>
      </c>
      <c r="N502" s="8"/>
      <c r="O502" s="26" t="str">
        <f t="shared" si="96"/>
        <v/>
      </c>
      <c r="P502" s="23" t="str">
        <f t="shared" si="90"/>
        <v/>
      </c>
      <c r="Q502" s="23" t="str">
        <f t="shared" si="91"/>
        <v/>
      </c>
      <c r="R502" s="23" t="str">
        <f t="shared" si="97"/>
        <v/>
      </c>
      <c r="S502" s="23" t="str">
        <f t="shared" si="98"/>
        <v/>
      </c>
      <c r="T502" s="23" t="str">
        <f t="shared" si="99"/>
        <v/>
      </c>
      <c r="U502" s="10"/>
    </row>
    <row r="503" spans="3:21" x14ac:dyDescent="0.25">
      <c r="C503" s="8"/>
      <c r="D503" s="8"/>
      <c r="E503" s="8"/>
      <c r="F503" s="8"/>
      <c r="G503" s="25" t="str">
        <f t="shared" si="92"/>
        <v/>
      </c>
      <c r="H503" s="8"/>
      <c r="I503" s="26" t="str">
        <f t="shared" si="93"/>
        <v/>
      </c>
      <c r="J503" s="8"/>
      <c r="K503" s="26" t="str">
        <f t="shared" si="94"/>
        <v/>
      </c>
      <c r="L503" s="8"/>
      <c r="M503" s="26" t="str">
        <f t="shared" si="95"/>
        <v/>
      </c>
      <c r="N503" s="8"/>
      <c r="O503" s="26" t="str">
        <f t="shared" si="96"/>
        <v/>
      </c>
      <c r="P503" s="23" t="str">
        <f t="shared" si="90"/>
        <v/>
      </c>
      <c r="Q503" s="23" t="str">
        <f t="shared" si="91"/>
        <v/>
      </c>
      <c r="R503" s="23" t="str">
        <f t="shared" si="97"/>
        <v/>
      </c>
      <c r="S503" s="23" t="str">
        <f t="shared" si="98"/>
        <v/>
      </c>
      <c r="T503" s="23" t="str">
        <f t="shared" si="99"/>
        <v/>
      </c>
      <c r="U503" s="10"/>
    </row>
    <row r="504" spans="3:21" x14ac:dyDescent="0.25">
      <c r="C504" s="11"/>
      <c r="D504" s="11"/>
      <c r="E504" s="11"/>
      <c r="F504" s="11"/>
      <c r="G504" s="12"/>
      <c r="H504" s="11"/>
      <c r="I504" s="8"/>
      <c r="J504" s="11"/>
      <c r="K504" s="11"/>
      <c r="L504" s="11"/>
      <c r="M504" s="11"/>
      <c r="N504" s="11"/>
      <c r="O504" s="11"/>
      <c r="P504" s="24" t="str">
        <f t="shared" ref="P504:P536" si="100">IF(COUNT(F504:O504)=0,"",SUM(F504:O504))</f>
        <v/>
      </c>
      <c r="Q504" s="24" t="str">
        <f t="shared" ref="Q504:Q514" si="101">IF(P504="","",P504/500*12)</f>
        <v/>
      </c>
      <c r="R504" s="24" t="str">
        <f t="shared" si="97"/>
        <v/>
      </c>
      <c r="S504" s="24" t="str">
        <f t="shared" si="98"/>
        <v/>
      </c>
      <c r="T504" s="23" t="str">
        <f t="shared" si="99"/>
        <v/>
      </c>
      <c r="U504" s="11"/>
    </row>
    <row r="505" spans="3:21" x14ac:dyDescent="0.25">
      <c r="C505" s="11"/>
      <c r="D505" s="11"/>
      <c r="E505" s="11"/>
      <c r="F505" s="11"/>
      <c r="G505" s="12"/>
      <c r="H505" s="11"/>
      <c r="I505" s="8"/>
      <c r="J505" s="11"/>
      <c r="K505" s="11"/>
      <c r="L505" s="11"/>
      <c r="M505" s="11"/>
      <c r="N505" s="11"/>
      <c r="O505" s="11"/>
      <c r="P505" s="24" t="str">
        <f t="shared" si="100"/>
        <v/>
      </c>
      <c r="Q505" s="24" t="str">
        <f t="shared" si="101"/>
        <v/>
      </c>
      <c r="R505" s="24" t="str">
        <f t="shared" si="97"/>
        <v/>
      </c>
      <c r="S505" s="24" t="str">
        <f t="shared" si="98"/>
        <v/>
      </c>
      <c r="T505" s="23" t="str">
        <f t="shared" si="99"/>
        <v/>
      </c>
      <c r="U505" s="11"/>
    </row>
    <row r="506" spans="3:21" x14ac:dyDescent="0.25">
      <c r="C506" s="11"/>
      <c r="D506" s="11"/>
      <c r="E506" s="11"/>
      <c r="F506" s="11"/>
      <c r="G506" s="28" t="str">
        <f t="shared" ref="G506:G537" si="102">IF(F506="","",VLOOKUP(F506,$Y$4:$Z$15,2,TRUE))</f>
        <v/>
      </c>
      <c r="H506" s="11"/>
      <c r="I506" s="8"/>
      <c r="J506" s="11"/>
      <c r="K506" s="11"/>
      <c r="L506" s="11"/>
      <c r="M506" s="24" t="str">
        <f t="shared" ref="M506:M569" si="103">IF(L506="","",VLOOKUP(L506,$Y$4:$Z$15,2,TRUE))</f>
        <v/>
      </c>
      <c r="N506" s="11"/>
      <c r="O506" s="24" t="str">
        <f t="shared" ref="O506:O569" si="104">IF(N506="","",VLOOKUP(N506,$Y$4:$Z$15,2,TRUE))</f>
        <v/>
      </c>
      <c r="P506" s="24" t="str">
        <f t="shared" si="100"/>
        <v/>
      </c>
      <c r="Q506" s="24" t="str">
        <f t="shared" si="101"/>
        <v/>
      </c>
      <c r="R506" s="24" t="str">
        <f t="shared" si="97"/>
        <v/>
      </c>
      <c r="S506" s="24" t="str">
        <f t="shared" si="98"/>
        <v/>
      </c>
      <c r="T506" s="23" t="str">
        <f t="shared" si="99"/>
        <v/>
      </c>
      <c r="U506" s="11"/>
    </row>
    <row r="507" spans="3:21" x14ac:dyDescent="0.25">
      <c r="C507" s="11"/>
      <c r="D507" s="11"/>
      <c r="E507" s="11"/>
      <c r="F507" s="11"/>
      <c r="G507" s="28" t="str">
        <f t="shared" si="102"/>
        <v/>
      </c>
      <c r="H507" s="11"/>
      <c r="I507" s="8"/>
      <c r="J507" s="11"/>
      <c r="K507" s="11"/>
      <c r="L507" s="11"/>
      <c r="M507" s="24" t="str">
        <f t="shared" si="103"/>
        <v/>
      </c>
      <c r="N507" s="11"/>
      <c r="O507" s="24" t="str">
        <f t="shared" si="104"/>
        <v/>
      </c>
      <c r="P507" s="24" t="str">
        <f t="shared" si="100"/>
        <v/>
      </c>
      <c r="Q507" s="24" t="str">
        <f t="shared" si="101"/>
        <v/>
      </c>
      <c r="R507" s="24" t="str">
        <f t="shared" si="97"/>
        <v/>
      </c>
      <c r="S507" s="24" t="str">
        <f t="shared" si="98"/>
        <v/>
      </c>
      <c r="T507" s="23" t="str">
        <f t="shared" si="99"/>
        <v/>
      </c>
      <c r="U507" s="11"/>
    </row>
    <row r="508" spans="3:21" x14ac:dyDescent="0.25">
      <c r="C508" s="11"/>
      <c r="D508" s="11"/>
      <c r="E508" s="11"/>
      <c r="F508" s="11"/>
      <c r="G508" s="28" t="str">
        <f t="shared" si="102"/>
        <v/>
      </c>
      <c r="H508" s="11"/>
      <c r="I508" s="8"/>
      <c r="J508" s="11"/>
      <c r="K508" s="11"/>
      <c r="L508" s="11"/>
      <c r="M508" s="24" t="str">
        <f t="shared" si="103"/>
        <v/>
      </c>
      <c r="N508" s="11"/>
      <c r="O508" s="24" t="str">
        <f t="shared" si="104"/>
        <v/>
      </c>
      <c r="P508" s="24" t="str">
        <f t="shared" si="100"/>
        <v/>
      </c>
      <c r="Q508" s="24" t="str">
        <f t="shared" si="101"/>
        <v/>
      </c>
      <c r="R508" s="24" t="str">
        <f t="shared" si="97"/>
        <v/>
      </c>
      <c r="S508" s="24" t="str">
        <f t="shared" si="98"/>
        <v/>
      </c>
      <c r="T508" s="23" t="str">
        <f t="shared" si="99"/>
        <v/>
      </c>
      <c r="U508" s="11"/>
    </row>
    <row r="509" spans="3:21" x14ac:dyDescent="0.25">
      <c r="C509" s="11"/>
      <c r="D509" s="11"/>
      <c r="E509" s="11"/>
      <c r="F509" s="11"/>
      <c r="G509" s="28" t="str">
        <f t="shared" si="102"/>
        <v/>
      </c>
      <c r="H509" s="11"/>
      <c r="I509" s="8"/>
      <c r="J509" s="11"/>
      <c r="K509" s="11"/>
      <c r="L509" s="11"/>
      <c r="M509" s="24" t="str">
        <f t="shared" si="103"/>
        <v/>
      </c>
      <c r="N509" s="11"/>
      <c r="O509" s="24" t="str">
        <f t="shared" si="104"/>
        <v/>
      </c>
      <c r="P509" s="24" t="str">
        <f t="shared" si="100"/>
        <v/>
      </c>
      <c r="Q509" s="24" t="str">
        <f t="shared" si="101"/>
        <v/>
      </c>
      <c r="R509" s="24" t="str">
        <f t="shared" si="97"/>
        <v/>
      </c>
      <c r="S509" s="24" t="str">
        <f t="shared" si="98"/>
        <v/>
      </c>
      <c r="T509" s="23" t="str">
        <f t="shared" si="99"/>
        <v/>
      </c>
      <c r="U509" s="11"/>
    </row>
    <row r="510" spans="3:21" x14ac:dyDescent="0.25">
      <c r="C510" s="11"/>
      <c r="D510" s="11"/>
      <c r="E510" s="11"/>
      <c r="F510" s="11"/>
      <c r="G510" s="28" t="str">
        <f t="shared" si="102"/>
        <v/>
      </c>
      <c r="H510" s="11"/>
      <c r="I510" s="8"/>
      <c r="J510" s="11"/>
      <c r="K510" s="11"/>
      <c r="L510" s="11"/>
      <c r="M510" s="24" t="str">
        <f t="shared" si="103"/>
        <v/>
      </c>
      <c r="N510" s="11"/>
      <c r="O510" s="24" t="str">
        <f t="shared" si="104"/>
        <v/>
      </c>
      <c r="P510" s="24" t="str">
        <f t="shared" si="100"/>
        <v/>
      </c>
      <c r="Q510" s="24" t="str">
        <f t="shared" si="101"/>
        <v/>
      </c>
      <c r="R510" s="24" t="str">
        <f t="shared" si="97"/>
        <v/>
      </c>
      <c r="S510" s="24" t="str">
        <f t="shared" si="98"/>
        <v/>
      </c>
      <c r="T510" s="23" t="str">
        <f t="shared" si="99"/>
        <v/>
      </c>
      <c r="U510" s="11"/>
    </row>
    <row r="511" spans="3:21" x14ac:dyDescent="0.25">
      <c r="C511" s="11"/>
      <c r="D511" s="11"/>
      <c r="E511" s="11"/>
      <c r="F511" s="11"/>
      <c r="G511" s="28" t="str">
        <f t="shared" si="102"/>
        <v/>
      </c>
      <c r="H511" s="11"/>
      <c r="I511" s="8"/>
      <c r="J511" s="11"/>
      <c r="K511" s="11"/>
      <c r="L511" s="11"/>
      <c r="M511" s="24" t="str">
        <f t="shared" si="103"/>
        <v/>
      </c>
      <c r="N511" s="11"/>
      <c r="O511" s="24" t="str">
        <f t="shared" si="104"/>
        <v/>
      </c>
      <c r="P511" s="24" t="str">
        <f t="shared" si="100"/>
        <v/>
      </c>
      <c r="Q511" s="24" t="str">
        <f t="shared" si="101"/>
        <v/>
      </c>
      <c r="R511" s="24" t="str">
        <f t="shared" si="97"/>
        <v/>
      </c>
      <c r="S511" s="24" t="str">
        <f t="shared" si="98"/>
        <v/>
      </c>
      <c r="T511" s="23" t="str">
        <f t="shared" si="99"/>
        <v/>
      </c>
      <c r="U511" s="11"/>
    </row>
    <row r="512" spans="3:21" x14ac:dyDescent="0.25">
      <c r="C512" s="11"/>
      <c r="D512" s="11"/>
      <c r="E512" s="11"/>
      <c r="F512" s="11"/>
      <c r="G512" s="28" t="str">
        <f t="shared" si="102"/>
        <v/>
      </c>
      <c r="H512" s="11"/>
      <c r="I512" s="8"/>
      <c r="J512" s="11"/>
      <c r="K512" s="11"/>
      <c r="L512" s="11"/>
      <c r="M512" s="24" t="str">
        <f t="shared" si="103"/>
        <v/>
      </c>
      <c r="N512" s="11"/>
      <c r="O512" s="24" t="str">
        <f t="shared" si="104"/>
        <v/>
      </c>
      <c r="P512" s="24" t="str">
        <f t="shared" si="100"/>
        <v/>
      </c>
      <c r="Q512" s="24" t="str">
        <f t="shared" si="101"/>
        <v/>
      </c>
      <c r="R512" s="24" t="str">
        <f t="shared" si="97"/>
        <v/>
      </c>
      <c r="S512" s="24" t="str">
        <f t="shared" si="98"/>
        <v/>
      </c>
      <c r="T512" s="23" t="str">
        <f t="shared" si="99"/>
        <v/>
      </c>
      <c r="U512" s="11"/>
    </row>
    <row r="513" spans="3:21" x14ac:dyDescent="0.25">
      <c r="C513" s="11"/>
      <c r="D513" s="11"/>
      <c r="E513" s="11"/>
      <c r="F513" s="11"/>
      <c r="G513" s="28" t="str">
        <f t="shared" si="102"/>
        <v/>
      </c>
      <c r="H513" s="11"/>
      <c r="I513" s="8"/>
      <c r="J513" s="11"/>
      <c r="K513" s="11"/>
      <c r="L513" s="11"/>
      <c r="M513" s="24" t="str">
        <f t="shared" si="103"/>
        <v/>
      </c>
      <c r="N513" s="11"/>
      <c r="O513" s="24" t="str">
        <f t="shared" si="104"/>
        <v/>
      </c>
      <c r="P513" s="24" t="str">
        <f t="shared" si="100"/>
        <v/>
      </c>
      <c r="Q513" s="24" t="str">
        <f t="shared" si="101"/>
        <v/>
      </c>
      <c r="R513" s="24" t="str">
        <f t="shared" si="97"/>
        <v/>
      </c>
      <c r="S513" s="24" t="str">
        <f t="shared" si="98"/>
        <v/>
      </c>
      <c r="T513" s="23" t="str">
        <f t="shared" si="99"/>
        <v/>
      </c>
      <c r="U513" s="11"/>
    </row>
    <row r="514" spans="3:21" x14ac:dyDescent="0.25">
      <c r="C514" s="11"/>
      <c r="D514" s="11"/>
      <c r="E514" s="11"/>
      <c r="F514" s="11"/>
      <c r="G514" s="28" t="str">
        <f t="shared" si="102"/>
        <v/>
      </c>
      <c r="H514" s="11"/>
      <c r="I514" s="8"/>
      <c r="J514" s="11"/>
      <c r="K514" s="11"/>
      <c r="L514" s="11"/>
      <c r="M514" s="24" t="str">
        <f t="shared" si="103"/>
        <v/>
      </c>
      <c r="N514" s="11"/>
      <c r="O514" s="24" t="str">
        <f t="shared" si="104"/>
        <v/>
      </c>
      <c r="P514" s="24" t="str">
        <f t="shared" si="100"/>
        <v/>
      </c>
      <c r="Q514" s="24" t="str">
        <f t="shared" si="101"/>
        <v/>
      </c>
      <c r="R514" s="24" t="str">
        <f t="shared" si="97"/>
        <v/>
      </c>
      <c r="S514" s="24" t="str">
        <f t="shared" si="98"/>
        <v/>
      </c>
      <c r="T514" s="23" t="str">
        <f t="shared" si="99"/>
        <v/>
      </c>
      <c r="U514" s="11"/>
    </row>
    <row r="515" spans="3:21" x14ac:dyDescent="0.25">
      <c r="C515" s="11"/>
      <c r="D515" s="11"/>
      <c r="E515" s="11"/>
      <c r="F515" s="11"/>
      <c r="G515" s="28" t="str">
        <f t="shared" si="102"/>
        <v/>
      </c>
      <c r="H515" s="11"/>
      <c r="I515" s="8"/>
      <c r="J515" s="11"/>
      <c r="K515" s="11"/>
      <c r="L515" s="11"/>
      <c r="M515" s="24" t="str">
        <f t="shared" si="103"/>
        <v/>
      </c>
      <c r="N515" s="11"/>
      <c r="O515" s="24" t="str">
        <f t="shared" si="104"/>
        <v/>
      </c>
      <c r="P515" s="24" t="str">
        <f t="shared" si="100"/>
        <v/>
      </c>
      <c r="Q515" s="24" t="str">
        <f t="shared" ref="Q515:Q578" si="105">IF(P515="","",P515/500*12)</f>
        <v/>
      </c>
      <c r="R515" s="24" t="str">
        <f t="shared" si="97"/>
        <v/>
      </c>
      <c r="S515" s="24" t="str">
        <f t="shared" si="98"/>
        <v/>
      </c>
      <c r="T515" s="23" t="str">
        <f t="shared" si="99"/>
        <v/>
      </c>
      <c r="U515" s="11"/>
    </row>
    <row r="516" spans="3:21" x14ac:dyDescent="0.25">
      <c r="C516" s="11"/>
      <c r="D516" s="11"/>
      <c r="E516" s="11"/>
      <c r="F516" s="11"/>
      <c r="G516" s="28" t="str">
        <f t="shared" si="102"/>
        <v/>
      </c>
      <c r="H516" s="11"/>
      <c r="I516" s="8"/>
      <c r="J516" s="11"/>
      <c r="K516" s="11"/>
      <c r="L516" s="11"/>
      <c r="M516" s="24" t="str">
        <f t="shared" si="103"/>
        <v/>
      </c>
      <c r="N516" s="11"/>
      <c r="O516" s="24" t="str">
        <f t="shared" si="104"/>
        <v/>
      </c>
      <c r="P516" s="24" t="str">
        <f t="shared" si="100"/>
        <v/>
      </c>
      <c r="Q516" s="24" t="str">
        <f t="shared" si="105"/>
        <v/>
      </c>
      <c r="R516" s="24" t="str">
        <f t="shared" si="97"/>
        <v/>
      </c>
      <c r="S516" s="24" t="str">
        <f t="shared" si="98"/>
        <v/>
      </c>
      <c r="T516" s="23" t="str">
        <f t="shared" si="99"/>
        <v/>
      </c>
      <c r="U516" s="11"/>
    </row>
    <row r="517" spans="3:21" x14ac:dyDescent="0.25">
      <c r="C517" s="11"/>
      <c r="D517" s="11"/>
      <c r="E517" s="11"/>
      <c r="F517" s="11"/>
      <c r="G517" s="28" t="str">
        <f t="shared" si="102"/>
        <v/>
      </c>
      <c r="H517" s="11"/>
      <c r="I517" s="8"/>
      <c r="J517" s="11"/>
      <c r="K517" s="11"/>
      <c r="L517" s="11"/>
      <c r="M517" s="24" t="str">
        <f t="shared" si="103"/>
        <v/>
      </c>
      <c r="N517" s="11"/>
      <c r="O517" s="24" t="str">
        <f t="shared" si="104"/>
        <v/>
      </c>
      <c r="P517" s="24" t="str">
        <f t="shared" si="100"/>
        <v/>
      </c>
      <c r="Q517" s="24" t="str">
        <f t="shared" si="105"/>
        <v/>
      </c>
      <c r="R517" s="24" t="str">
        <f t="shared" si="97"/>
        <v/>
      </c>
      <c r="S517" s="24" t="str">
        <f t="shared" si="98"/>
        <v/>
      </c>
      <c r="T517" s="23" t="str">
        <f t="shared" si="99"/>
        <v/>
      </c>
      <c r="U517" s="11"/>
    </row>
    <row r="518" spans="3:21" x14ac:dyDescent="0.25">
      <c r="C518" s="11"/>
      <c r="D518" s="11"/>
      <c r="E518" s="11"/>
      <c r="F518" s="11"/>
      <c r="G518" s="28" t="str">
        <f t="shared" si="102"/>
        <v/>
      </c>
      <c r="H518" s="11"/>
      <c r="I518" s="8"/>
      <c r="J518" s="11"/>
      <c r="K518" s="11"/>
      <c r="L518" s="11"/>
      <c r="M518" s="24" t="str">
        <f t="shared" si="103"/>
        <v/>
      </c>
      <c r="N518" s="11"/>
      <c r="O518" s="24" t="str">
        <f t="shared" si="104"/>
        <v/>
      </c>
      <c r="P518" s="24" t="str">
        <f t="shared" si="100"/>
        <v/>
      </c>
      <c r="Q518" s="24" t="str">
        <f t="shared" si="105"/>
        <v/>
      </c>
      <c r="R518" s="24" t="str">
        <f t="shared" si="97"/>
        <v/>
      </c>
      <c r="S518" s="24" t="str">
        <f t="shared" si="98"/>
        <v/>
      </c>
      <c r="T518" s="23" t="str">
        <f t="shared" si="99"/>
        <v/>
      </c>
      <c r="U518" s="11"/>
    </row>
    <row r="519" spans="3:21" x14ac:dyDescent="0.25">
      <c r="C519" s="11"/>
      <c r="D519" s="11"/>
      <c r="E519" s="11"/>
      <c r="F519" s="11"/>
      <c r="G519" s="28" t="str">
        <f t="shared" si="102"/>
        <v/>
      </c>
      <c r="H519" s="11"/>
      <c r="I519" s="8"/>
      <c r="J519" s="11"/>
      <c r="K519" s="11"/>
      <c r="L519" s="11"/>
      <c r="M519" s="24" t="str">
        <f t="shared" si="103"/>
        <v/>
      </c>
      <c r="N519" s="11"/>
      <c r="O519" s="24" t="str">
        <f t="shared" si="104"/>
        <v/>
      </c>
      <c r="P519" s="24" t="str">
        <f t="shared" si="100"/>
        <v/>
      </c>
      <c r="Q519" s="24" t="str">
        <f t="shared" si="105"/>
        <v/>
      </c>
      <c r="R519" s="24" t="str">
        <f t="shared" si="97"/>
        <v/>
      </c>
      <c r="S519" s="24" t="str">
        <f t="shared" si="98"/>
        <v/>
      </c>
      <c r="T519" s="23" t="str">
        <f t="shared" si="99"/>
        <v/>
      </c>
      <c r="U519" s="11"/>
    </row>
    <row r="520" spans="3:21" x14ac:dyDescent="0.25">
      <c r="C520" s="11"/>
      <c r="D520" s="11"/>
      <c r="E520" s="11"/>
      <c r="F520" s="11"/>
      <c r="G520" s="28" t="str">
        <f t="shared" si="102"/>
        <v/>
      </c>
      <c r="H520" s="11"/>
      <c r="I520" s="8"/>
      <c r="J520" s="11"/>
      <c r="K520" s="11"/>
      <c r="L520" s="11"/>
      <c r="M520" s="24" t="str">
        <f t="shared" si="103"/>
        <v/>
      </c>
      <c r="N520" s="11"/>
      <c r="O520" s="24" t="str">
        <f t="shared" si="104"/>
        <v/>
      </c>
      <c r="P520" s="24" t="str">
        <f t="shared" si="100"/>
        <v/>
      </c>
      <c r="Q520" s="24" t="str">
        <f t="shared" si="105"/>
        <v/>
      </c>
      <c r="R520" s="24" t="str">
        <f t="shared" si="97"/>
        <v/>
      </c>
      <c r="S520" s="24" t="str">
        <f t="shared" si="98"/>
        <v/>
      </c>
      <c r="T520" s="23" t="str">
        <f t="shared" si="99"/>
        <v/>
      </c>
      <c r="U520" s="11"/>
    </row>
    <row r="521" spans="3:21" x14ac:dyDescent="0.25">
      <c r="C521" s="11"/>
      <c r="D521" s="11"/>
      <c r="E521" s="11"/>
      <c r="F521" s="11"/>
      <c r="G521" s="28" t="str">
        <f t="shared" si="102"/>
        <v/>
      </c>
      <c r="H521" s="11"/>
      <c r="I521" s="8"/>
      <c r="J521" s="11"/>
      <c r="K521" s="11"/>
      <c r="L521" s="11"/>
      <c r="M521" s="24" t="str">
        <f t="shared" si="103"/>
        <v/>
      </c>
      <c r="N521" s="11"/>
      <c r="O521" s="24" t="str">
        <f t="shared" si="104"/>
        <v/>
      </c>
      <c r="P521" s="24" t="str">
        <f t="shared" si="100"/>
        <v/>
      </c>
      <c r="Q521" s="24" t="str">
        <f t="shared" si="105"/>
        <v/>
      </c>
      <c r="R521" s="24" t="str">
        <f t="shared" si="97"/>
        <v/>
      </c>
      <c r="S521" s="24" t="str">
        <f t="shared" si="98"/>
        <v/>
      </c>
      <c r="T521" s="23" t="str">
        <f t="shared" si="99"/>
        <v/>
      </c>
      <c r="U521" s="11"/>
    </row>
    <row r="522" spans="3:21" x14ac:dyDescent="0.25">
      <c r="C522" s="11"/>
      <c r="D522" s="11"/>
      <c r="E522" s="11"/>
      <c r="F522" s="11"/>
      <c r="G522" s="28" t="str">
        <f t="shared" si="102"/>
        <v/>
      </c>
      <c r="H522" s="11"/>
      <c r="I522" s="8"/>
      <c r="J522" s="11"/>
      <c r="K522" s="11"/>
      <c r="L522" s="11"/>
      <c r="M522" s="24" t="str">
        <f t="shared" si="103"/>
        <v/>
      </c>
      <c r="N522" s="11"/>
      <c r="O522" s="24" t="str">
        <f t="shared" si="104"/>
        <v/>
      </c>
      <c r="P522" s="24" t="str">
        <f t="shared" si="100"/>
        <v/>
      </c>
      <c r="Q522" s="24" t="str">
        <f t="shared" si="105"/>
        <v/>
      </c>
      <c r="R522" s="24" t="str">
        <f t="shared" si="97"/>
        <v/>
      </c>
      <c r="S522" s="24" t="str">
        <f t="shared" si="98"/>
        <v/>
      </c>
      <c r="T522" s="23" t="str">
        <f t="shared" si="99"/>
        <v/>
      </c>
      <c r="U522" s="11"/>
    </row>
    <row r="523" spans="3:21" x14ac:dyDescent="0.25">
      <c r="C523" s="11"/>
      <c r="D523" s="11"/>
      <c r="E523" s="11"/>
      <c r="F523" s="11"/>
      <c r="G523" s="28" t="str">
        <f t="shared" si="102"/>
        <v/>
      </c>
      <c r="H523" s="11"/>
      <c r="I523" s="8"/>
      <c r="J523" s="11"/>
      <c r="K523" s="11"/>
      <c r="L523" s="11"/>
      <c r="M523" s="24" t="str">
        <f t="shared" si="103"/>
        <v/>
      </c>
      <c r="N523" s="11"/>
      <c r="O523" s="24" t="str">
        <f t="shared" si="104"/>
        <v/>
      </c>
      <c r="P523" s="24" t="str">
        <f t="shared" si="100"/>
        <v/>
      </c>
      <c r="Q523" s="24" t="str">
        <f t="shared" si="105"/>
        <v/>
      </c>
      <c r="R523" s="24" t="str">
        <f t="shared" si="97"/>
        <v/>
      </c>
      <c r="S523" s="24" t="str">
        <f t="shared" si="98"/>
        <v/>
      </c>
      <c r="T523" s="23" t="str">
        <f t="shared" si="99"/>
        <v/>
      </c>
      <c r="U523" s="11"/>
    </row>
    <row r="524" spans="3:21" x14ac:dyDescent="0.25">
      <c r="C524" s="11"/>
      <c r="D524" s="11"/>
      <c r="E524" s="11"/>
      <c r="F524" s="11"/>
      <c r="G524" s="28" t="str">
        <f t="shared" si="102"/>
        <v/>
      </c>
      <c r="H524" s="11"/>
      <c r="I524" s="8"/>
      <c r="J524" s="11"/>
      <c r="K524" s="11"/>
      <c r="L524" s="11"/>
      <c r="M524" s="24" t="str">
        <f t="shared" si="103"/>
        <v/>
      </c>
      <c r="N524" s="11"/>
      <c r="O524" s="24" t="str">
        <f t="shared" si="104"/>
        <v/>
      </c>
      <c r="P524" s="24" t="str">
        <f t="shared" si="100"/>
        <v/>
      </c>
      <c r="Q524" s="24" t="str">
        <f t="shared" si="105"/>
        <v/>
      </c>
      <c r="R524" s="24" t="str">
        <f t="shared" si="97"/>
        <v/>
      </c>
      <c r="S524" s="24" t="str">
        <f t="shared" si="98"/>
        <v/>
      </c>
      <c r="T524" s="23" t="str">
        <f t="shared" si="99"/>
        <v/>
      </c>
      <c r="U524" s="11"/>
    </row>
    <row r="525" spans="3:21" x14ac:dyDescent="0.25">
      <c r="C525" s="11"/>
      <c r="D525" s="11"/>
      <c r="E525" s="11"/>
      <c r="F525" s="11"/>
      <c r="G525" s="28" t="str">
        <f t="shared" si="102"/>
        <v/>
      </c>
      <c r="H525" s="11"/>
      <c r="I525" s="8"/>
      <c r="J525" s="11"/>
      <c r="K525" s="11"/>
      <c r="L525" s="11"/>
      <c r="M525" s="24" t="str">
        <f t="shared" si="103"/>
        <v/>
      </c>
      <c r="N525" s="11"/>
      <c r="O525" s="24" t="str">
        <f t="shared" si="104"/>
        <v/>
      </c>
      <c r="P525" s="24" t="str">
        <f t="shared" si="100"/>
        <v/>
      </c>
      <c r="Q525" s="24" t="str">
        <f t="shared" si="105"/>
        <v/>
      </c>
      <c r="R525" s="24" t="str">
        <f t="shared" si="97"/>
        <v/>
      </c>
      <c r="S525" s="24" t="str">
        <f t="shared" si="98"/>
        <v/>
      </c>
      <c r="T525" s="23" t="str">
        <f t="shared" si="99"/>
        <v/>
      </c>
      <c r="U525" s="11"/>
    </row>
    <row r="526" spans="3:21" x14ac:dyDescent="0.25">
      <c r="C526" s="11"/>
      <c r="D526" s="11"/>
      <c r="E526" s="11"/>
      <c r="F526" s="11"/>
      <c r="G526" s="28" t="str">
        <f t="shared" si="102"/>
        <v/>
      </c>
      <c r="H526" s="11"/>
      <c r="I526" s="8"/>
      <c r="J526" s="11"/>
      <c r="K526" s="11"/>
      <c r="L526" s="11"/>
      <c r="M526" s="24" t="str">
        <f t="shared" si="103"/>
        <v/>
      </c>
      <c r="N526" s="11"/>
      <c r="O526" s="24" t="str">
        <f t="shared" si="104"/>
        <v/>
      </c>
      <c r="P526" s="24" t="str">
        <f t="shared" si="100"/>
        <v/>
      </c>
      <c r="Q526" s="24" t="str">
        <f t="shared" si="105"/>
        <v/>
      </c>
      <c r="R526" s="24" t="str">
        <f t="shared" si="97"/>
        <v/>
      </c>
      <c r="S526" s="24" t="str">
        <f t="shared" si="98"/>
        <v/>
      </c>
      <c r="T526" s="23" t="str">
        <f t="shared" si="99"/>
        <v/>
      </c>
      <c r="U526" s="11"/>
    </row>
    <row r="527" spans="3:21" x14ac:dyDescent="0.25">
      <c r="C527" s="11"/>
      <c r="D527" s="11"/>
      <c r="E527" s="11"/>
      <c r="F527" s="11"/>
      <c r="G527" s="28" t="str">
        <f t="shared" si="102"/>
        <v/>
      </c>
      <c r="H527" s="11"/>
      <c r="I527" s="8"/>
      <c r="J527" s="11"/>
      <c r="K527" s="11"/>
      <c r="L527" s="11"/>
      <c r="M527" s="24" t="str">
        <f t="shared" si="103"/>
        <v/>
      </c>
      <c r="N527" s="11"/>
      <c r="O527" s="24" t="str">
        <f t="shared" si="104"/>
        <v/>
      </c>
      <c r="P527" s="24" t="str">
        <f t="shared" si="100"/>
        <v/>
      </c>
      <c r="Q527" s="24" t="str">
        <f t="shared" si="105"/>
        <v/>
      </c>
      <c r="R527" s="24" t="str">
        <f t="shared" si="97"/>
        <v/>
      </c>
      <c r="S527" s="24" t="str">
        <f t="shared" si="98"/>
        <v/>
      </c>
      <c r="T527" s="23" t="str">
        <f t="shared" si="99"/>
        <v/>
      </c>
      <c r="U527" s="11"/>
    </row>
    <row r="528" spans="3:21" x14ac:dyDescent="0.25">
      <c r="C528" s="11"/>
      <c r="D528" s="11"/>
      <c r="E528" s="11"/>
      <c r="F528" s="11"/>
      <c r="G528" s="28" t="str">
        <f t="shared" si="102"/>
        <v/>
      </c>
      <c r="H528" s="11"/>
      <c r="I528" s="8"/>
      <c r="J528" s="11"/>
      <c r="K528" s="11"/>
      <c r="L528" s="11"/>
      <c r="M528" s="24" t="str">
        <f t="shared" si="103"/>
        <v/>
      </c>
      <c r="N528" s="11"/>
      <c r="O528" s="24" t="str">
        <f t="shared" si="104"/>
        <v/>
      </c>
      <c r="P528" s="24" t="str">
        <f t="shared" si="100"/>
        <v/>
      </c>
      <c r="Q528" s="24" t="str">
        <f t="shared" si="105"/>
        <v/>
      </c>
      <c r="R528" s="24" t="str">
        <f t="shared" si="97"/>
        <v/>
      </c>
      <c r="S528" s="24" t="str">
        <f t="shared" si="98"/>
        <v/>
      </c>
      <c r="T528" s="23" t="str">
        <f t="shared" si="99"/>
        <v/>
      </c>
      <c r="U528" s="11"/>
    </row>
    <row r="529" spans="3:21" x14ac:dyDescent="0.25">
      <c r="C529" s="11"/>
      <c r="D529" s="11"/>
      <c r="E529" s="11"/>
      <c r="F529" s="11"/>
      <c r="G529" s="28" t="str">
        <f t="shared" si="102"/>
        <v/>
      </c>
      <c r="H529" s="11"/>
      <c r="I529" s="8"/>
      <c r="J529" s="11"/>
      <c r="K529" s="11"/>
      <c r="L529" s="11"/>
      <c r="M529" s="24" t="str">
        <f t="shared" si="103"/>
        <v/>
      </c>
      <c r="N529" s="11"/>
      <c r="O529" s="24" t="str">
        <f t="shared" si="104"/>
        <v/>
      </c>
      <c r="P529" s="24" t="str">
        <f t="shared" si="100"/>
        <v/>
      </c>
      <c r="Q529" s="24" t="str">
        <f t="shared" si="105"/>
        <v/>
      </c>
      <c r="R529" s="24" t="str">
        <f t="shared" si="97"/>
        <v/>
      </c>
      <c r="S529" s="24" t="str">
        <f t="shared" si="98"/>
        <v/>
      </c>
      <c r="T529" s="23" t="str">
        <f t="shared" si="99"/>
        <v/>
      </c>
      <c r="U529" s="11"/>
    </row>
    <row r="530" spans="3:21" x14ac:dyDescent="0.25">
      <c r="C530" s="11"/>
      <c r="D530" s="11"/>
      <c r="E530" s="11"/>
      <c r="F530" s="11"/>
      <c r="G530" s="28" t="str">
        <f t="shared" si="102"/>
        <v/>
      </c>
      <c r="H530" s="11"/>
      <c r="I530" s="8"/>
      <c r="J530" s="11"/>
      <c r="K530" s="11"/>
      <c r="L530" s="11"/>
      <c r="M530" s="24" t="str">
        <f t="shared" si="103"/>
        <v/>
      </c>
      <c r="N530" s="11"/>
      <c r="O530" s="24" t="str">
        <f t="shared" si="104"/>
        <v/>
      </c>
      <c r="P530" s="24" t="str">
        <f t="shared" si="100"/>
        <v/>
      </c>
      <c r="Q530" s="24" t="str">
        <f t="shared" si="105"/>
        <v/>
      </c>
      <c r="R530" s="24" t="str">
        <f t="shared" si="97"/>
        <v/>
      </c>
      <c r="S530" s="24" t="str">
        <f t="shared" si="98"/>
        <v/>
      </c>
      <c r="T530" s="23" t="str">
        <f t="shared" si="99"/>
        <v/>
      </c>
      <c r="U530" s="11"/>
    </row>
    <row r="531" spans="3:21" x14ac:dyDescent="0.25">
      <c r="C531" s="11"/>
      <c r="D531" s="11"/>
      <c r="E531" s="11"/>
      <c r="F531" s="11"/>
      <c r="G531" s="28" t="str">
        <f t="shared" si="102"/>
        <v/>
      </c>
      <c r="H531" s="11"/>
      <c r="I531" s="8"/>
      <c r="J531" s="11"/>
      <c r="K531" s="11"/>
      <c r="L531" s="11"/>
      <c r="M531" s="24" t="str">
        <f t="shared" si="103"/>
        <v/>
      </c>
      <c r="N531" s="11"/>
      <c r="O531" s="24" t="str">
        <f t="shared" si="104"/>
        <v/>
      </c>
      <c r="P531" s="24" t="str">
        <f t="shared" si="100"/>
        <v/>
      </c>
      <c r="Q531" s="24" t="str">
        <f t="shared" si="105"/>
        <v/>
      </c>
      <c r="R531" s="24" t="str">
        <f t="shared" si="97"/>
        <v/>
      </c>
      <c r="S531" s="24" t="str">
        <f t="shared" si="98"/>
        <v/>
      </c>
      <c r="T531" s="23" t="str">
        <f t="shared" si="99"/>
        <v/>
      </c>
      <c r="U531" s="11"/>
    </row>
    <row r="532" spans="3:21" x14ac:dyDescent="0.25">
      <c r="C532" s="11"/>
      <c r="D532" s="11"/>
      <c r="E532" s="11"/>
      <c r="F532" s="11"/>
      <c r="G532" s="28" t="str">
        <f t="shared" si="102"/>
        <v/>
      </c>
      <c r="H532" s="11"/>
      <c r="I532" s="8"/>
      <c r="J532" s="11"/>
      <c r="K532" s="11"/>
      <c r="L532" s="11"/>
      <c r="M532" s="24" t="str">
        <f t="shared" si="103"/>
        <v/>
      </c>
      <c r="N532" s="11"/>
      <c r="O532" s="24" t="str">
        <f t="shared" si="104"/>
        <v/>
      </c>
      <c r="P532" s="24" t="str">
        <f t="shared" si="100"/>
        <v/>
      </c>
      <c r="Q532" s="24" t="str">
        <f t="shared" si="105"/>
        <v/>
      </c>
      <c r="R532" s="24" t="str">
        <f t="shared" si="97"/>
        <v/>
      </c>
      <c r="S532" s="24" t="str">
        <f t="shared" si="98"/>
        <v/>
      </c>
      <c r="T532" s="23" t="str">
        <f t="shared" si="99"/>
        <v/>
      </c>
      <c r="U532" s="11"/>
    </row>
    <row r="533" spans="3:21" x14ac:dyDescent="0.25">
      <c r="C533" s="11"/>
      <c r="D533" s="11"/>
      <c r="E533" s="11"/>
      <c r="F533" s="11"/>
      <c r="G533" s="28" t="str">
        <f t="shared" si="102"/>
        <v/>
      </c>
      <c r="H533" s="11"/>
      <c r="I533" s="8"/>
      <c r="J533" s="11"/>
      <c r="K533" s="11"/>
      <c r="L533" s="11"/>
      <c r="M533" s="24" t="str">
        <f t="shared" si="103"/>
        <v/>
      </c>
      <c r="N533" s="11"/>
      <c r="O533" s="24" t="str">
        <f t="shared" si="104"/>
        <v/>
      </c>
      <c r="P533" s="24" t="str">
        <f t="shared" si="100"/>
        <v/>
      </c>
      <c r="Q533" s="24" t="str">
        <f t="shared" si="105"/>
        <v/>
      </c>
      <c r="R533" s="24" t="str">
        <f t="shared" si="97"/>
        <v/>
      </c>
      <c r="S533" s="24" t="str">
        <f t="shared" si="98"/>
        <v/>
      </c>
      <c r="T533" s="23" t="str">
        <f t="shared" si="99"/>
        <v/>
      </c>
      <c r="U533" s="11"/>
    </row>
    <row r="534" spans="3:21" x14ac:dyDescent="0.25">
      <c r="C534" s="11"/>
      <c r="D534" s="11"/>
      <c r="E534" s="11"/>
      <c r="F534" s="11"/>
      <c r="G534" s="28" t="str">
        <f t="shared" si="102"/>
        <v/>
      </c>
      <c r="H534" s="11"/>
      <c r="I534" s="8"/>
      <c r="J534" s="11"/>
      <c r="K534" s="11"/>
      <c r="L534" s="11"/>
      <c r="M534" s="24" t="str">
        <f t="shared" si="103"/>
        <v/>
      </c>
      <c r="N534" s="11"/>
      <c r="O534" s="24" t="str">
        <f t="shared" si="104"/>
        <v/>
      </c>
      <c r="P534" s="24" t="str">
        <f t="shared" si="100"/>
        <v/>
      </c>
      <c r="Q534" s="24" t="str">
        <f t="shared" si="105"/>
        <v/>
      </c>
      <c r="R534" s="24" t="str">
        <f t="shared" si="97"/>
        <v/>
      </c>
      <c r="S534" s="24" t="str">
        <f t="shared" si="98"/>
        <v/>
      </c>
      <c r="T534" s="23" t="str">
        <f t="shared" si="99"/>
        <v/>
      </c>
      <c r="U534" s="11"/>
    </row>
    <row r="535" spans="3:21" x14ac:dyDescent="0.25">
      <c r="C535" s="11"/>
      <c r="D535" s="11"/>
      <c r="E535" s="11"/>
      <c r="F535" s="11"/>
      <c r="G535" s="28" t="str">
        <f t="shared" si="102"/>
        <v/>
      </c>
      <c r="H535" s="11"/>
      <c r="I535" s="8"/>
      <c r="J535" s="11"/>
      <c r="K535" s="11"/>
      <c r="L535" s="11"/>
      <c r="M535" s="24" t="str">
        <f t="shared" si="103"/>
        <v/>
      </c>
      <c r="N535" s="11"/>
      <c r="O535" s="24" t="str">
        <f t="shared" si="104"/>
        <v/>
      </c>
      <c r="P535" s="24" t="str">
        <f t="shared" si="100"/>
        <v/>
      </c>
      <c r="Q535" s="24" t="str">
        <f t="shared" si="105"/>
        <v/>
      </c>
      <c r="R535" s="24" t="str">
        <f t="shared" si="97"/>
        <v/>
      </c>
      <c r="S535" s="24" t="str">
        <f t="shared" si="98"/>
        <v/>
      </c>
      <c r="T535" s="23" t="str">
        <f t="shared" si="99"/>
        <v/>
      </c>
      <c r="U535" s="11"/>
    </row>
    <row r="536" spans="3:21" x14ac:dyDescent="0.25">
      <c r="C536" s="11"/>
      <c r="D536" s="11"/>
      <c r="E536" s="11"/>
      <c r="F536" s="11"/>
      <c r="G536" s="28" t="str">
        <f t="shared" si="102"/>
        <v/>
      </c>
      <c r="H536" s="11"/>
      <c r="I536" s="24" t="str">
        <f t="shared" ref="I536:I599" si="106">IF(H536="","",VLOOKUP(H536,$Y$4:$Z$15,2,TRUE))</f>
        <v/>
      </c>
      <c r="J536" s="11"/>
      <c r="K536" s="11"/>
      <c r="L536" s="11"/>
      <c r="M536" s="24" t="str">
        <f t="shared" si="103"/>
        <v/>
      </c>
      <c r="N536" s="11"/>
      <c r="O536" s="24" t="str">
        <f t="shared" si="104"/>
        <v/>
      </c>
      <c r="P536" s="24" t="str">
        <f t="shared" si="100"/>
        <v/>
      </c>
      <c r="Q536" s="24" t="str">
        <f t="shared" si="105"/>
        <v/>
      </c>
      <c r="R536" s="24" t="str">
        <f t="shared" si="97"/>
        <v/>
      </c>
      <c r="S536" s="24" t="str">
        <f t="shared" si="98"/>
        <v/>
      </c>
      <c r="T536" s="23" t="str">
        <f t="shared" si="99"/>
        <v/>
      </c>
      <c r="U536" s="11"/>
    </row>
    <row r="537" spans="3:21" x14ac:dyDescent="0.25">
      <c r="C537" s="11"/>
      <c r="D537" s="11"/>
      <c r="E537" s="11"/>
      <c r="F537" s="11"/>
      <c r="G537" s="28" t="str">
        <f t="shared" si="102"/>
        <v/>
      </c>
      <c r="H537" s="11"/>
      <c r="I537" s="24" t="str">
        <f t="shared" si="106"/>
        <v/>
      </c>
      <c r="J537" s="11"/>
      <c r="K537" s="11"/>
      <c r="L537" s="11"/>
      <c r="M537" s="24" t="str">
        <f t="shared" si="103"/>
        <v/>
      </c>
      <c r="N537" s="11"/>
      <c r="O537" s="24" t="str">
        <f t="shared" si="104"/>
        <v/>
      </c>
      <c r="P537" s="24" t="str">
        <f t="shared" ref="P537:P600" si="107">IF(COUNT(F537:O537)=0,"",SUM(F537:O537))</f>
        <v/>
      </c>
      <c r="Q537" s="24" t="str">
        <f t="shared" si="105"/>
        <v/>
      </c>
      <c r="R537" s="24" t="str">
        <f t="shared" si="97"/>
        <v/>
      </c>
      <c r="S537" s="24" t="str">
        <f t="shared" si="98"/>
        <v/>
      </c>
      <c r="T537" s="23" t="str">
        <f t="shared" si="99"/>
        <v/>
      </c>
      <c r="U537" s="11"/>
    </row>
    <row r="538" spans="3:21" x14ac:dyDescent="0.25">
      <c r="C538" s="11"/>
      <c r="D538" s="11"/>
      <c r="E538" s="11"/>
      <c r="F538" s="11"/>
      <c r="G538" s="28" t="str">
        <f t="shared" ref="G538:G569" si="108">IF(F538="","",VLOOKUP(F538,$Y$4:$Z$15,2,TRUE))</f>
        <v/>
      </c>
      <c r="H538" s="11"/>
      <c r="I538" s="24" t="str">
        <f t="shared" si="106"/>
        <v/>
      </c>
      <c r="J538" s="11"/>
      <c r="K538" s="11"/>
      <c r="L538" s="11"/>
      <c r="M538" s="24" t="str">
        <f t="shared" si="103"/>
        <v/>
      </c>
      <c r="N538" s="11"/>
      <c r="O538" s="24" t="str">
        <f t="shared" si="104"/>
        <v/>
      </c>
      <c r="P538" s="24" t="str">
        <f t="shared" si="107"/>
        <v/>
      </c>
      <c r="Q538" s="24" t="str">
        <f t="shared" si="105"/>
        <v/>
      </c>
      <c r="R538" s="24" t="str">
        <f t="shared" si="97"/>
        <v/>
      </c>
      <c r="S538" s="24" t="str">
        <f t="shared" si="98"/>
        <v/>
      </c>
      <c r="T538" s="23" t="str">
        <f t="shared" si="99"/>
        <v/>
      </c>
      <c r="U538" s="11"/>
    </row>
    <row r="539" spans="3:21" x14ac:dyDescent="0.25">
      <c r="C539" s="11"/>
      <c r="D539" s="11"/>
      <c r="E539" s="11"/>
      <c r="F539" s="11"/>
      <c r="G539" s="28" t="str">
        <f t="shared" si="108"/>
        <v/>
      </c>
      <c r="H539" s="11"/>
      <c r="I539" s="24" t="str">
        <f t="shared" si="106"/>
        <v/>
      </c>
      <c r="J539" s="11"/>
      <c r="K539" s="11"/>
      <c r="L539" s="11"/>
      <c r="M539" s="24" t="str">
        <f t="shared" si="103"/>
        <v/>
      </c>
      <c r="N539" s="11"/>
      <c r="O539" s="24" t="str">
        <f t="shared" si="104"/>
        <v/>
      </c>
      <c r="P539" s="24" t="str">
        <f t="shared" si="107"/>
        <v/>
      </c>
      <c r="Q539" s="24" t="str">
        <f t="shared" si="105"/>
        <v/>
      </c>
      <c r="R539" s="24" t="str">
        <f t="shared" si="97"/>
        <v/>
      </c>
      <c r="S539" s="24" t="str">
        <f t="shared" si="98"/>
        <v/>
      </c>
      <c r="T539" s="23" t="str">
        <f t="shared" si="99"/>
        <v/>
      </c>
      <c r="U539" s="11"/>
    </row>
    <row r="540" spans="3:21" x14ac:dyDescent="0.25">
      <c r="C540" s="11"/>
      <c r="D540" s="11"/>
      <c r="E540" s="11"/>
      <c r="F540" s="11"/>
      <c r="G540" s="28" t="str">
        <f t="shared" si="108"/>
        <v/>
      </c>
      <c r="H540" s="11"/>
      <c r="I540" s="24" t="str">
        <f t="shared" si="106"/>
        <v/>
      </c>
      <c r="J540" s="11"/>
      <c r="K540" s="11"/>
      <c r="L540" s="11"/>
      <c r="M540" s="24" t="str">
        <f t="shared" si="103"/>
        <v/>
      </c>
      <c r="N540" s="11"/>
      <c r="O540" s="24" t="str">
        <f t="shared" si="104"/>
        <v/>
      </c>
      <c r="P540" s="24" t="str">
        <f t="shared" si="107"/>
        <v/>
      </c>
      <c r="Q540" s="24" t="str">
        <f t="shared" si="105"/>
        <v/>
      </c>
      <c r="R540" s="24" t="str">
        <f t="shared" si="97"/>
        <v/>
      </c>
      <c r="S540" s="24" t="str">
        <f t="shared" si="98"/>
        <v/>
      </c>
      <c r="T540" s="23" t="str">
        <f t="shared" si="99"/>
        <v/>
      </c>
      <c r="U540" s="11"/>
    </row>
    <row r="541" spans="3:21" x14ac:dyDescent="0.25">
      <c r="C541" s="11"/>
      <c r="D541" s="11"/>
      <c r="E541" s="11"/>
      <c r="F541" s="11"/>
      <c r="G541" s="28" t="str">
        <f t="shared" si="108"/>
        <v/>
      </c>
      <c r="H541" s="11"/>
      <c r="I541" s="24" t="str">
        <f t="shared" si="106"/>
        <v/>
      </c>
      <c r="J541" s="11"/>
      <c r="K541" s="11"/>
      <c r="L541" s="11"/>
      <c r="M541" s="24" t="str">
        <f t="shared" si="103"/>
        <v/>
      </c>
      <c r="N541" s="11"/>
      <c r="O541" s="24" t="str">
        <f t="shared" si="104"/>
        <v/>
      </c>
      <c r="P541" s="24" t="str">
        <f t="shared" si="107"/>
        <v/>
      </c>
      <c r="Q541" s="24" t="str">
        <f t="shared" si="105"/>
        <v/>
      </c>
      <c r="R541" s="24" t="str">
        <f t="shared" si="97"/>
        <v/>
      </c>
      <c r="S541" s="24" t="str">
        <f t="shared" si="98"/>
        <v/>
      </c>
      <c r="T541" s="23" t="str">
        <f t="shared" si="99"/>
        <v/>
      </c>
      <c r="U541" s="11"/>
    </row>
    <row r="542" spans="3:21" x14ac:dyDescent="0.25">
      <c r="C542" s="11"/>
      <c r="D542" s="11"/>
      <c r="E542" s="11"/>
      <c r="F542" s="11"/>
      <c r="G542" s="28" t="str">
        <f t="shared" si="108"/>
        <v/>
      </c>
      <c r="H542" s="11"/>
      <c r="I542" s="24" t="str">
        <f t="shared" si="106"/>
        <v/>
      </c>
      <c r="J542" s="11"/>
      <c r="K542" s="11"/>
      <c r="L542" s="11"/>
      <c r="M542" s="24" t="str">
        <f t="shared" si="103"/>
        <v/>
      </c>
      <c r="N542" s="11"/>
      <c r="O542" s="24" t="str">
        <f t="shared" si="104"/>
        <v/>
      </c>
      <c r="P542" s="24" t="str">
        <f t="shared" si="107"/>
        <v/>
      </c>
      <c r="Q542" s="24" t="str">
        <f t="shared" si="105"/>
        <v/>
      </c>
      <c r="R542" s="24" t="str">
        <f t="shared" si="97"/>
        <v/>
      </c>
      <c r="S542" s="24" t="str">
        <f t="shared" si="98"/>
        <v/>
      </c>
      <c r="T542" s="23" t="str">
        <f t="shared" si="99"/>
        <v/>
      </c>
      <c r="U542" s="11"/>
    </row>
    <row r="543" spans="3:21" x14ac:dyDescent="0.25">
      <c r="C543" s="11"/>
      <c r="D543" s="11"/>
      <c r="E543" s="11"/>
      <c r="F543" s="11"/>
      <c r="G543" s="28" t="str">
        <f t="shared" si="108"/>
        <v/>
      </c>
      <c r="H543" s="11"/>
      <c r="I543" s="24" t="str">
        <f t="shared" si="106"/>
        <v/>
      </c>
      <c r="J543" s="11"/>
      <c r="K543" s="11"/>
      <c r="L543" s="11"/>
      <c r="M543" s="24" t="str">
        <f t="shared" si="103"/>
        <v/>
      </c>
      <c r="N543" s="11"/>
      <c r="O543" s="24" t="str">
        <f t="shared" si="104"/>
        <v/>
      </c>
      <c r="P543" s="24" t="str">
        <f t="shared" si="107"/>
        <v/>
      </c>
      <c r="Q543" s="24" t="str">
        <f t="shared" si="105"/>
        <v/>
      </c>
      <c r="R543" s="24" t="str">
        <f t="shared" ref="R543:R606" si="109">IF(Q543="","",VLOOKUP(Q543,$W$4:$X$15,2,TRUE))</f>
        <v/>
      </c>
      <c r="S543" s="24" t="str">
        <f t="shared" ref="S543:S568" si="110">IF(P543="","",RANK(P543,$P$5:$P$998,0))</f>
        <v/>
      </c>
      <c r="T543" s="23" t="str">
        <f t="shared" ref="T543:T606" si="111">IFERROR(VLOOKUP(R543,$AA$4:$AB$15,2,FALSE),"")</f>
        <v/>
      </c>
      <c r="U543" s="11"/>
    </row>
    <row r="544" spans="3:21" x14ac:dyDescent="0.25">
      <c r="C544" s="11"/>
      <c r="D544" s="11"/>
      <c r="E544" s="11"/>
      <c r="F544" s="11"/>
      <c r="G544" s="28" t="str">
        <f t="shared" si="108"/>
        <v/>
      </c>
      <c r="H544" s="11"/>
      <c r="I544" s="24" t="str">
        <f t="shared" si="106"/>
        <v/>
      </c>
      <c r="J544" s="11"/>
      <c r="K544" s="11"/>
      <c r="L544" s="11"/>
      <c r="M544" s="24" t="str">
        <f t="shared" si="103"/>
        <v/>
      </c>
      <c r="N544" s="11"/>
      <c r="O544" s="24" t="str">
        <f t="shared" si="104"/>
        <v/>
      </c>
      <c r="P544" s="24" t="str">
        <f t="shared" si="107"/>
        <v/>
      </c>
      <c r="Q544" s="24" t="str">
        <f t="shared" si="105"/>
        <v/>
      </c>
      <c r="R544" s="24" t="str">
        <f t="shared" si="109"/>
        <v/>
      </c>
      <c r="S544" s="24" t="str">
        <f t="shared" si="110"/>
        <v/>
      </c>
      <c r="T544" s="23" t="str">
        <f t="shared" si="111"/>
        <v/>
      </c>
      <c r="U544" s="11"/>
    </row>
    <row r="545" spans="3:21" x14ac:dyDescent="0.25">
      <c r="C545" s="11"/>
      <c r="D545" s="11"/>
      <c r="E545" s="11"/>
      <c r="F545" s="11"/>
      <c r="G545" s="28" t="str">
        <f t="shared" si="108"/>
        <v/>
      </c>
      <c r="H545" s="11"/>
      <c r="I545" s="24" t="str">
        <f t="shared" si="106"/>
        <v/>
      </c>
      <c r="J545" s="11"/>
      <c r="K545" s="11"/>
      <c r="L545" s="11"/>
      <c r="M545" s="24" t="str">
        <f t="shared" si="103"/>
        <v/>
      </c>
      <c r="N545" s="11"/>
      <c r="O545" s="24" t="str">
        <f t="shared" si="104"/>
        <v/>
      </c>
      <c r="P545" s="24" t="str">
        <f t="shared" si="107"/>
        <v/>
      </c>
      <c r="Q545" s="24" t="str">
        <f t="shared" si="105"/>
        <v/>
      </c>
      <c r="R545" s="24" t="str">
        <f t="shared" si="109"/>
        <v/>
      </c>
      <c r="S545" s="24" t="str">
        <f t="shared" si="110"/>
        <v/>
      </c>
      <c r="T545" s="23" t="str">
        <f t="shared" si="111"/>
        <v/>
      </c>
      <c r="U545" s="11"/>
    </row>
    <row r="546" spans="3:21" x14ac:dyDescent="0.25">
      <c r="C546" s="11"/>
      <c r="D546" s="11"/>
      <c r="E546" s="11"/>
      <c r="F546" s="11"/>
      <c r="G546" s="28" t="str">
        <f t="shared" si="108"/>
        <v/>
      </c>
      <c r="H546" s="11"/>
      <c r="I546" s="24" t="str">
        <f t="shared" si="106"/>
        <v/>
      </c>
      <c r="J546" s="11"/>
      <c r="K546" s="11"/>
      <c r="L546" s="11"/>
      <c r="M546" s="24" t="str">
        <f t="shared" si="103"/>
        <v/>
      </c>
      <c r="N546" s="11"/>
      <c r="O546" s="24" t="str">
        <f t="shared" si="104"/>
        <v/>
      </c>
      <c r="P546" s="24" t="str">
        <f t="shared" si="107"/>
        <v/>
      </c>
      <c r="Q546" s="24" t="str">
        <f t="shared" si="105"/>
        <v/>
      </c>
      <c r="R546" s="24" t="str">
        <f t="shared" si="109"/>
        <v/>
      </c>
      <c r="S546" s="24" t="str">
        <f t="shared" si="110"/>
        <v/>
      </c>
      <c r="T546" s="23" t="str">
        <f t="shared" si="111"/>
        <v/>
      </c>
      <c r="U546" s="11"/>
    </row>
    <row r="547" spans="3:21" x14ac:dyDescent="0.25">
      <c r="C547" s="11"/>
      <c r="D547" s="11"/>
      <c r="E547" s="11"/>
      <c r="F547" s="11"/>
      <c r="G547" s="28" t="str">
        <f t="shared" si="108"/>
        <v/>
      </c>
      <c r="H547" s="11"/>
      <c r="I547" s="24" t="str">
        <f t="shared" si="106"/>
        <v/>
      </c>
      <c r="J547" s="11"/>
      <c r="K547" s="11"/>
      <c r="L547" s="11"/>
      <c r="M547" s="24" t="str">
        <f t="shared" si="103"/>
        <v/>
      </c>
      <c r="N547" s="11"/>
      <c r="O547" s="24" t="str">
        <f t="shared" si="104"/>
        <v/>
      </c>
      <c r="P547" s="24" t="str">
        <f t="shared" si="107"/>
        <v/>
      </c>
      <c r="Q547" s="24" t="str">
        <f t="shared" si="105"/>
        <v/>
      </c>
      <c r="R547" s="24" t="str">
        <f t="shared" si="109"/>
        <v/>
      </c>
      <c r="S547" s="24" t="str">
        <f t="shared" si="110"/>
        <v/>
      </c>
      <c r="T547" s="23" t="str">
        <f t="shared" si="111"/>
        <v/>
      </c>
      <c r="U547" s="11"/>
    </row>
    <row r="548" spans="3:21" x14ac:dyDescent="0.25">
      <c r="C548" s="11"/>
      <c r="D548" s="11"/>
      <c r="E548" s="11"/>
      <c r="F548" s="11"/>
      <c r="G548" s="28" t="str">
        <f t="shared" si="108"/>
        <v/>
      </c>
      <c r="H548" s="11"/>
      <c r="I548" s="24" t="str">
        <f t="shared" si="106"/>
        <v/>
      </c>
      <c r="J548" s="11"/>
      <c r="K548" s="11"/>
      <c r="L548" s="11"/>
      <c r="M548" s="24" t="str">
        <f t="shared" si="103"/>
        <v/>
      </c>
      <c r="N548" s="11"/>
      <c r="O548" s="24" t="str">
        <f t="shared" si="104"/>
        <v/>
      </c>
      <c r="P548" s="24" t="str">
        <f t="shared" si="107"/>
        <v/>
      </c>
      <c r="Q548" s="24" t="str">
        <f t="shared" si="105"/>
        <v/>
      </c>
      <c r="R548" s="24" t="str">
        <f t="shared" si="109"/>
        <v/>
      </c>
      <c r="S548" s="24" t="str">
        <f t="shared" si="110"/>
        <v/>
      </c>
      <c r="T548" s="23" t="str">
        <f t="shared" si="111"/>
        <v/>
      </c>
      <c r="U548" s="11"/>
    </row>
    <row r="549" spans="3:21" x14ac:dyDescent="0.25">
      <c r="C549" s="11"/>
      <c r="D549" s="11"/>
      <c r="E549" s="11"/>
      <c r="F549" s="11"/>
      <c r="G549" s="28" t="str">
        <f t="shared" si="108"/>
        <v/>
      </c>
      <c r="H549" s="11"/>
      <c r="I549" s="24" t="str">
        <f t="shared" si="106"/>
        <v/>
      </c>
      <c r="J549" s="11"/>
      <c r="K549" s="11"/>
      <c r="L549" s="11"/>
      <c r="M549" s="24" t="str">
        <f t="shared" si="103"/>
        <v/>
      </c>
      <c r="N549" s="11"/>
      <c r="O549" s="24" t="str">
        <f t="shared" si="104"/>
        <v/>
      </c>
      <c r="P549" s="24" t="str">
        <f t="shared" si="107"/>
        <v/>
      </c>
      <c r="Q549" s="24" t="str">
        <f t="shared" si="105"/>
        <v/>
      </c>
      <c r="R549" s="24" t="str">
        <f t="shared" si="109"/>
        <v/>
      </c>
      <c r="S549" s="24" t="str">
        <f t="shared" si="110"/>
        <v/>
      </c>
      <c r="T549" s="23" t="str">
        <f t="shared" si="111"/>
        <v/>
      </c>
      <c r="U549" s="11"/>
    </row>
    <row r="550" spans="3:21" x14ac:dyDescent="0.25">
      <c r="C550" s="11"/>
      <c r="D550" s="11"/>
      <c r="E550" s="11"/>
      <c r="F550" s="11"/>
      <c r="G550" s="28" t="str">
        <f t="shared" si="108"/>
        <v/>
      </c>
      <c r="H550" s="11"/>
      <c r="I550" s="24" t="str">
        <f t="shared" si="106"/>
        <v/>
      </c>
      <c r="J550" s="11"/>
      <c r="K550" s="11"/>
      <c r="L550" s="11"/>
      <c r="M550" s="24" t="str">
        <f t="shared" si="103"/>
        <v/>
      </c>
      <c r="N550" s="11"/>
      <c r="O550" s="24" t="str">
        <f t="shared" si="104"/>
        <v/>
      </c>
      <c r="P550" s="24" t="str">
        <f t="shared" si="107"/>
        <v/>
      </c>
      <c r="Q550" s="24" t="str">
        <f t="shared" si="105"/>
        <v/>
      </c>
      <c r="R550" s="24" t="str">
        <f t="shared" si="109"/>
        <v/>
      </c>
      <c r="S550" s="24" t="str">
        <f t="shared" si="110"/>
        <v/>
      </c>
      <c r="T550" s="23" t="str">
        <f t="shared" si="111"/>
        <v/>
      </c>
      <c r="U550" s="11"/>
    </row>
    <row r="551" spans="3:21" x14ac:dyDescent="0.25">
      <c r="C551" s="11"/>
      <c r="D551" s="11"/>
      <c r="E551" s="11"/>
      <c r="F551" s="11"/>
      <c r="G551" s="28" t="str">
        <f t="shared" si="108"/>
        <v/>
      </c>
      <c r="H551" s="11"/>
      <c r="I551" s="24" t="str">
        <f t="shared" si="106"/>
        <v/>
      </c>
      <c r="J551" s="11"/>
      <c r="K551" s="11"/>
      <c r="L551" s="11"/>
      <c r="M551" s="24" t="str">
        <f t="shared" si="103"/>
        <v/>
      </c>
      <c r="N551" s="11"/>
      <c r="O551" s="24" t="str">
        <f t="shared" si="104"/>
        <v/>
      </c>
      <c r="P551" s="24" t="str">
        <f t="shared" si="107"/>
        <v/>
      </c>
      <c r="Q551" s="24" t="str">
        <f t="shared" si="105"/>
        <v/>
      </c>
      <c r="R551" s="24" t="str">
        <f t="shared" si="109"/>
        <v/>
      </c>
      <c r="S551" s="24" t="str">
        <f t="shared" si="110"/>
        <v/>
      </c>
      <c r="T551" s="23" t="str">
        <f t="shared" si="111"/>
        <v/>
      </c>
      <c r="U551" s="11"/>
    </row>
    <row r="552" spans="3:21" x14ac:dyDescent="0.25">
      <c r="C552" s="11"/>
      <c r="D552" s="11"/>
      <c r="E552" s="11"/>
      <c r="F552" s="11"/>
      <c r="G552" s="28" t="str">
        <f t="shared" si="108"/>
        <v/>
      </c>
      <c r="H552" s="11"/>
      <c r="I552" s="24" t="str">
        <f t="shared" si="106"/>
        <v/>
      </c>
      <c r="J552" s="11"/>
      <c r="K552" s="11"/>
      <c r="L552" s="11"/>
      <c r="M552" s="24" t="str">
        <f t="shared" si="103"/>
        <v/>
      </c>
      <c r="N552" s="11"/>
      <c r="O552" s="24" t="str">
        <f t="shared" si="104"/>
        <v/>
      </c>
      <c r="P552" s="24" t="str">
        <f t="shared" si="107"/>
        <v/>
      </c>
      <c r="Q552" s="24" t="str">
        <f t="shared" si="105"/>
        <v/>
      </c>
      <c r="R552" s="24" t="str">
        <f t="shared" si="109"/>
        <v/>
      </c>
      <c r="S552" s="24" t="str">
        <f t="shared" si="110"/>
        <v/>
      </c>
      <c r="T552" s="23" t="str">
        <f t="shared" si="111"/>
        <v/>
      </c>
      <c r="U552" s="11"/>
    </row>
    <row r="553" spans="3:21" x14ac:dyDescent="0.25">
      <c r="C553" s="11"/>
      <c r="D553" s="11"/>
      <c r="E553" s="11"/>
      <c r="F553" s="11"/>
      <c r="G553" s="28" t="str">
        <f t="shared" si="108"/>
        <v/>
      </c>
      <c r="H553" s="11"/>
      <c r="I553" s="24" t="str">
        <f t="shared" si="106"/>
        <v/>
      </c>
      <c r="J553" s="11"/>
      <c r="K553" s="11"/>
      <c r="L553" s="11"/>
      <c r="M553" s="24" t="str">
        <f t="shared" si="103"/>
        <v/>
      </c>
      <c r="N553" s="11"/>
      <c r="O553" s="24" t="str">
        <f t="shared" si="104"/>
        <v/>
      </c>
      <c r="P553" s="24" t="str">
        <f t="shared" si="107"/>
        <v/>
      </c>
      <c r="Q553" s="24" t="str">
        <f t="shared" si="105"/>
        <v/>
      </c>
      <c r="R553" s="24" t="str">
        <f t="shared" si="109"/>
        <v/>
      </c>
      <c r="S553" s="24" t="str">
        <f t="shared" si="110"/>
        <v/>
      </c>
      <c r="T553" s="23" t="str">
        <f t="shared" si="111"/>
        <v/>
      </c>
      <c r="U553" s="11"/>
    </row>
    <row r="554" spans="3:21" x14ac:dyDescent="0.25">
      <c r="C554" s="11"/>
      <c r="D554" s="11"/>
      <c r="E554" s="11"/>
      <c r="F554" s="11"/>
      <c r="G554" s="28" t="str">
        <f t="shared" si="108"/>
        <v/>
      </c>
      <c r="H554" s="11"/>
      <c r="I554" s="24" t="str">
        <f t="shared" si="106"/>
        <v/>
      </c>
      <c r="J554" s="11"/>
      <c r="K554" s="11"/>
      <c r="L554" s="11"/>
      <c r="M554" s="24" t="str">
        <f t="shared" si="103"/>
        <v/>
      </c>
      <c r="N554" s="11"/>
      <c r="O554" s="24" t="str">
        <f t="shared" si="104"/>
        <v/>
      </c>
      <c r="P554" s="24" t="str">
        <f t="shared" si="107"/>
        <v/>
      </c>
      <c r="Q554" s="24" t="str">
        <f t="shared" si="105"/>
        <v/>
      </c>
      <c r="R554" s="24" t="str">
        <f t="shared" si="109"/>
        <v/>
      </c>
      <c r="S554" s="24" t="str">
        <f t="shared" si="110"/>
        <v/>
      </c>
      <c r="T554" s="23" t="str">
        <f t="shared" si="111"/>
        <v/>
      </c>
      <c r="U554" s="11"/>
    </row>
    <row r="555" spans="3:21" x14ac:dyDescent="0.25">
      <c r="C555" s="11"/>
      <c r="D555" s="11"/>
      <c r="E555" s="11"/>
      <c r="F555" s="11"/>
      <c r="G555" s="28" t="str">
        <f t="shared" si="108"/>
        <v/>
      </c>
      <c r="H555" s="11"/>
      <c r="I555" s="24" t="str">
        <f t="shared" si="106"/>
        <v/>
      </c>
      <c r="J555" s="11"/>
      <c r="K555" s="11"/>
      <c r="L555" s="11"/>
      <c r="M555" s="24" t="str">
        <f t="shared" si="103"/>
        <v/>
      </c>
      <c r="N555" s="11"/>
      <c r="O555" s="24" t="str">
        <f t="shared" si="104"/>
        <v/>
      </c>
      <c r="P555" s="24" t="str">
        <f t="shared" si="107"/>
        <v/>
      </c>
      <c r="Q555" s="24" t="str">
        <f t="shared" si="105"/>
        <v/>
      </c>
      <c r="R555" s="24" t="str">
        <f t="shared" si="109"/>
        <v/>
      </c>
      <c r="S555" s="24" t="str">
        <f t="shared" si="110"/>
        <v/>
      </c>
      <c r="T555" s="23" t="str">
        <f t="shared" si="111"/>
        <v/>
      </c>
      <c r="U555" s="11"/>
    </row>
    <row r="556" spans="3:21" x14ac:dyDescent="0.25">
      <c r="C556" s="11"/>
      <c r="D556" s="11"/>
      <c r="E556" s="11"/>
      <c r="F556" s="11"/>
      <c r="G556" s="28" t="str">
        <f t="shared" si="108"/>
        <v/>
      </c>
      <c r="H556" s="11"/>
      <c r="I556" s="24" t="str">
        <f t="shared" si="106"/>
        <v/>
      </c>
      <c r="J556" s="11"/>
      <c r="K556" s="11"/>
      <c r="L556" s="11"/>
      <c r="M556" s="24" t="str">
        <f t="shared" si="103"/>
        <v/>
      </c>
      <c r="N556" s="11"/>
      <c r="O556" s="24" t="str">
        <f t="shared" si="104"/>
        <v/>
      </c>
      <c r="P556" s="24" t="str">
        <f t="shared" si="107"/>
        <v/>
      </c>
      <c r="Q556" s="24" t="str">
        <f t="shared" si="105"/>
        <v/>
      </c>
      <c r="R556" s="24" t="str">
        <f t="shared" si="109"/>
        <v/>
      </c>
      <c r="S556" s="24" t="str">
        <f t="shared" si="110"/>
        <v/>
      </c>
      <c r="T556" s="23" t="str">
        <f t="shared" si="111"/>
        <v/>
      </c>
      <c r="U556" s="11"/>
    </row>
    <row r="557" spans="3:21" x14ac:dyDescent="0.25">
      <c r="C557" s="11"/>
      <c r="D557" s="11"/>
      <c r="E557" s="11"/>
      <c r="F557" s="11"/>
      <c r="G557" s="28" t="str">
        <f t="shared" si="108"/>
        <v/>
      </c>
      <c r="H557" s="11"/>
      <c r="I557" s="24" t="str">
        <f t="shared" si="106"/>
        <v/>
      </c>
      <c r="J557" s="11"/>
      <c r="K557" s="11"/>
      <c r="L557" s="11"/>
      <c r="M557" s="24" t="str">
        <f t="shared" si="103"/>
        <v/>
      </c>
      <c r="N557" s="11"/>
      <c r="O557" s="24" t="str">
        <f t="shared" si="104"/>
        <v/>
      </c>
      <c r="P557" s="24" t="str">
        <f t="shared" si="107"/>
        <v/>
      </c>
      <c r="Q557" s="24" t="str">
        <f t="shared" si="105"/>
        <v/>
      </c>
      <c r="R557" s="24" t="str">
        <f t="shared" si="109"/>
        <v/>
      </c>
      <c r="S557" s="24" t="str">
        <f t="shared" si="110"/>
        <v/>
      </c>
      <c r="T557" s="23" t="str">
        <f t="shared" si="111"/>
        <v/>
      </c>
      <c r="U557" s="11"/>
    </row>
    <row r="558" spans="3:21" x14ac:dyDescent="0.25">
      <c r="G558" s="29" t="str">
        <f t="shared" si="108"/>
        <v/>
      </c>
      <c r="I558" s="24" t="str">
        <f t="shared" si="106"/>
        <v/>
      </c>
      <c r="M558" s="27" t="str">
        <f t="shared" si="103"/>
        <v/>
      </c>
      <c r="O558" s="27" t="str">
        <f t="shared" si="104"/>
        <v/>
      </c>
      <c r="P558" s="24" t="str">
        <f t="shared" si="107"/>
        <v/>
      </c>
      <c r="Q558" s="27" t="str">
        <f t="shared" si="105"/>
        <v/>
      </c>
      <c r="R558" s="27" t="str">
        <f t="shared" si="109"/>
        <v/>
      </c>
      <c r="S558" s="27" t="str">
        <f t="shared" si="110"/>
        <v/>
      </c>
      <c r="T558" s="23" t="str">
        <f t="shared" si="111"/>
        <v/>
      </c>
    </row>
    <row r="559" spans="3:21" x14ac:dyDescent="0.25">
      <c r="G559" s="29" t="str">
        <f t="shared" si="108"/>
        <v/>
      </c>
      <c r="I559" s="24" t="str">
        <f t="shared" si="106"/>
        <v/>
      </c>
      <c r="M559" s="27" t="str">
        <f t="shared" si="103"/>
        <v/>
      </c>
      <c r="O559" s="27" t="str">
        <f t="shared" si="104"/>
        <v/>
      </c>
      <c r="P559" s="24" t="str">
        <f t="shared" si="107"/>
        <v/>
      </c>
      <c r="Q559" s="27" t="str">
        <f t="shared" si="105"/>
        <v/>
      </c>
      <c r="R559" s="27" t="str">
        <f t="shared" si="109"/>
        <v/>
      </c>
      <c r="S559" s="27" t="str">
        <f t="shared" si="110"/>
        <v/>
      </c>
      <c r="T559" s="23" t="str">
        <f t="shared" si="111"/>
        <v/>
      </c>
    </row>
    <row r="560" spans="3:21" x14ac:dyDescent="0.25">
      <c r="G560" s="29" t="str">
        <f t="shared" si="108"/>
        <v/>
      </c>
      <c r="I560" s="24" t="str">
        <f t="shared" si="106"/>
        <v/>
      </c>
      <c r="M560" s="27" t="str">
        <f t="shared" si="103"/>
        <v/>
      </c>
      <c r="O560" s="27" t="str">
        <f t="shared" si="104"/>
        <v/>
      </c>
      <c r="P560" s="24" t="str">
        <f t="shared" si="107"/>
        <v/>
      </c>
      <c r="Q560" s="27" t="str">
        <f t="shared" si="105"/>
        <v/>
      </c>
      <c r="R560" s="27" t="str">
        <f t="shared" si="109"/>
        <v/>
      </c>
      <c r="S560" s="27" t="str">
        <f t="shared" si="110"/>
        <v/>
      </c>
      <c r="T560" s="23" t="str">
        <f t="shared" si="111"/>
        <v/>
      </c>
    </row>
    <row r="561" spans="7:20" x14ac:dyDescent="0.25">
      <c r="G561" s="29" t="str">
        <f t="shared" si="108"/>
        <v/>
      </c>
      <c r="I561" s="24" t="str">
        <f t="shared" si="106"/>
        <v/>
      </c>
      <c r="M561" s="27" t="str">
        <f t="shared" si="103"/>
        <v/>
      </c>
      <c r="O561" s="27" t="str">
        <f t="shared" si="104"/>
        <v/>
      </c>
      <c r="P561" s="24" t="str">
        <f t="shared" si="107"/>
        <v/>
      </c>
      <c r="Q561" s="27" t="str">
        <f t="shared" si="105"/>
        <v/>
      </c>
      <c r="R561" s="27" t="str">
        <f t="shared" si="109"/>
        <v/>
      </c>
      <c r="S561" s="27" t="str">
        <f t="shared" si="110"/>
        <v/>
      </c>
      <c r="T561" s="23" t="str">
        <f t="shared" si="111"/>
        <v/>
      </c>
    </row>
    <row r="562" spans="7:20" x14ac:dyDescent="0.25">
      <c r="G562" s="29" t="str">
        <f t="shared" si="108"/>
        <v/>
      </c>
      <c r="I562" s="24" t="str">
        <f t="shared" si="106"/>
        <v/>
      </c>
      <c r="M562" s="27" t="str">
        <f t="shared" si="103"/>
        <v/>
      </c>
      <c r="O562" s="27" t="str">
        <f t="shared" si="104"/>
        <v/>
      </c>
      <c r="P562" s="24" t="str">
        <f t="shared" si="107"/>
        <v/>
      </c>
      <c r="Q562" s="27" t="str">
        <f t="shared" si="105"/>
        <v/>
      </c>
      <c r="R562" s="27" t="str">
        <f t="shared" si="109"/>
        <v/>
      </c>
      <c r="S562" s="27" t="str">
        <f t="shared" si="110"/>
        <v/>
      </c>
      <c r="T562" s="23" t="str">
        <f t="shared" si="111"/>
        <v/>
      </c>
    </row>
    <row r="563" spans="7:20" x14ac:dyDescent="0.25">
      <c r="G563" s="29" t="str">
        <f t="shared" si="108"/>
        <v/>
      </c>
      <c r="I563" s="24" t="str">
        <f t="shared" si="106"/>
        <v/>
      </c>
      <c r="M563" s="27" t="str">
        <f t="shared" si="103"/>
        <v/>
      </c>
      <c r="O563" s="27" t="str">
        <f t="shared" si="104"/>
        <v/>
      </c>
      <c r="P563" s="24" t="str">
        <f t="shared" si="107"/>
        <v/>
      </c>
      <c r="Q563" s="27" t="str">
        <f t="shared" si="105"/>
        <v/>
      </c>
      <c r="R563" s="27" t="str">
        <f t="shared" si="109"/>
        <v/>
      </c>
      <c r="S563" s="27" t="str">
        <f t="shared" si="110"/>
        <v/>
      </c>
      <c r="T563" s="23" t="str">
        <f t="shared" si="111"/>
        <v/>
      </c>
    </row>
    <row r="564" spans="7:20" x14ac:dyDescent="0.25">
      <c r="G564" s="29" t="str">
        <f t="shared" si="108"/>
        <v/>
      </c>
      <c r="I564" s="24" t="str">
        <f t="shared" si="106"/>
        <v/>
      </c>
      <c r="M564" s="27" t="str">
        <f t="shared" si="103"/>
        <v/>
      </c>
      <c r="O564" s="27" t="str">
        <f t="shared" si="104"/>
        <v/>
      </c>
      <c r="P564" s="24" t="str">
        <f t="shared" si="107"/>
        <v/>
      </c>
      <c r="Q564" s="27" t="str">
        <f t="shared" si="105"/>
        <v/>
      </c>
      <c r="R564" s="27" t="str">
        <f t="shared" si="109"/>
        <v/>
      </c>
      <c r="S564" s="27" t="str">
        <f t="shared" si="110"/>
        <v/>
      </c>
      <c r="T564" s="23" t="str">
        <f t="shared" si="111"/>
        <v/>
      </c>
    </row>
    <row r="565" spans="7:20" x14ac:dyDescent="0.25">
      <c r="G565" s="29" t="str">
        <f t="shared" si="108"/>
        <v/>
      </c>
      <c r="I565" s="24" t="str">
        <f t="shared" si="106"/>
        <v/>
      </c>
      <c r="M565" s="27" t="str">
        <f t="shared" si="103"/>
        <v/>
      </c>
      <c r="O565" s="27" t="str">
        <f t="shared" si="104"/>
        <v/>
      </c>
      <c r="P565" s="24" t="str">
        <f t="shared" si="107"/>
        <v/>
      </c>
      <c r="Q565" s="27" t="str">
        <f t="shared" si="105"/>
        <v/>
      </c>
      <c r="R565" s="27" t="str">
        <f t="shared" si="109"/>
        <v/>
      </c>
      <c r="S565" s="27" t="str">
        <f t="shared" si="110"/>
        <v/>
      </c>
      <c r="T565" s="23" t="str">
        <f t="shared" si="111"/>
        <v/>
      </c>
    </row>
    <row r="566" spans="7:20" x14ac:dyDescent="0.25">
      <c r="G566" s="29" t="str">
        <f t="shared" si="108"/>
        <v/>
      </c>
      <c r="I566" s="24" t="str">
        <f t="shared" si="106"/>
        <v/>
      </c>
      <c r="M566" s="27" t="str">
        <f t="shared" si="103"/>
        <v/>
      </c>
      <c r="O566" s="27" t="str">
        <f t="shared" si="104"/>
        <v/>
      </c>
      <c r="P566" s="24" t="str">
        <f t="shared" si="107"/>
        <v/>
      </c>
      <c r="Q566" s="27" t="str">
        <f t="shared" si="105"/>
        <v/>
      </c>
      <c r="R566" s="27" t="str">
        <f t="shared" si="109"/>
        <v/>
      </c>
      <c r="S566" s="27" t="str">
        <f t="shared" si="110"/>
        <v/>
      </c>
      <c r="T566" s="23" t="str">
        <f t="shared" si="111"/>
        <v/>
      </c>
    </row>
    <row r="567" spans="7:20" x14ac:dyDescent="0.25">
      <c r="G567" s="29" t="str">
        <f t="shared" si="108"/>
        <v/>
      </c>
      <c r="I567" s="24" t="str">
        <f t="shared" si="106"/>
        <v/>
      </c>
      <c r="M567" s="27" t="str">
        <f t="shared" si="103"/>
        <v/>
      </c>
      <c r="O567" s="27" t="str">
        <f t="shared" si="104"/>
        <v/>
      </c>
      <c r="P567" s="24" t="str">
        <f t="shared" si="107"/>
        <v/>
      </c>
      <c r="Q567" s="27" t="str">
        <f t="shared" si="105"/>
        <v/>
      </c>
      <c r="R567" s="27" t="str">
        <f t="shared" si="109"/>
        <v/>
      </c>
      <c r="S567" s="27" t="str">
        <f t="shared" si="110"/>
        <v/>
      </c>
      <c r="T567" s="23" t="str">
        <f t="shared" si="111"/>
        <v/>
      </c>
    </row>
    <row r="568" spans="7:20" x14ac:dyDescent="0.25">
      <c r="G568" s="29" t="str">
        <f t="shared" si="108"/>
        <v/>
      </c>
      <c r="I568" s="24" t="str">
        <f t="shared" si="106"/>
        <v/>
      </c>
      <c r="M568" s="27" t="str">
        <f t="shared" si="103"/>
        <v/>
      </c>
      <c r="O568" s="27" t="str">
        <f t="shared" si="104"/>
        <v/>
      </c>
      <c r="P568" s="24" t="str">
        <f t="shared" si="107"/>
        <v/>
      </c>
      <c r="Q568" s="27" t="str">
        <f t="shared" si="105"/>
        <v/>
      </c>
      <c r="R568" s="27" t="str">
        <f t="shared" si="109"/>
        <v/>
      </c>
      <c r="S568" s="27" t="str">
        <f t="shared" si="110"/>
        <v/>
      </c>
      <c r="T568" s="23" t="str">
        <f t="shared" si="111"/>
        <v/>
      </c>
    </row>
    <row r="569" spans="7:20" x14ac:dyDescent="0.25">
      <c r="G569" s="29" t="str">
        <f t="shared" si="108"/>
        <v/>
      </c>
      <c r="I569" s="24" t="str">
        <f t="shared" si="106"/>
        <v/>
      </c>
      <c r="M569" s="27" t="str">
        <f t="shared" si="103"/>
        <v/>
      </c>
      <c r="O569" s="27" t="str">
        <f t="shared" si="104"/>
        <v/>
      </c>
      <c r="P569" s="24" t="str">
        <f t="shared" si="107"/>
        <v/>
      </c>
      <c r="Q569" s="27" t="str">
        <f t="shared" si="105"/>
        <v/>
      </c>
      <c r="R569" s="27" t="str">
        <f t="shared" si="109"/>
        <v/>
      </c>
      <c r="T569" s="23" t="str">
        <f t="shared" si="111"/>
        <v/>
      </c>
    </row>
    <row r="570" spans="7:20" x14ac:dyDescent="0.25">
      <c r="G570" s="29" t="str">
        <f t="shared" ref="G570:G601" si="112">IF(F570="","",VLOOKUP(F570,$Y$4:$Z$15,2,TRUE))</f>
        <v/>
      </c>
      <c r="I570" s="24" t="str">
        <f t="shared" si="106"/>
        <v/>
      </c>
      <c r="M570" s="27" t="str">
        <f t="shared" ref="M570:M633" si="113">IF(L570="","",VLOOKUP(L570,$Y$4:$Z$15,2,TRUE))</f>
        <v/>
      </c>
      <c r="O570" s="27" t="str">
        <f t="shared" ref="O570:O633" si="114">IF(N570="","",VLOOKUP(N570,$Y$4:$Z$15,2,TRUE))</f>
        <v/>
      </c>
      <c r="P570" s="24" t="str">
        <f t="shared" si="107"/>
        <v/>
      </c>
      <c r="Q570" s="27" t="str">
        <f t="shared" si="105"/>
        <v/>
      </c>
      <c r="R570" s="27" t="str">
        <f t="shared" si="109"/>
        <v/>
      </c>
      <c r="T570" s="23" t="str">
        <f t="shared" si="111"/>
        <v/>
      </c>
    </row>
    <row r="571" spans="7:20" x14ac:dyDescent="0.25">
      <c r="G571" s="29" t="str">
        <f t="shared" si="112"/>
        <v/>
      </c>
      <c r="I571" s="24" t="str">
        <f t="shared" si="106"/>
        <v/>
      </c>
      <c r="M571" s="27" t="str">
        <f t="shared" si="113"/>
        <v/>
      </c>
      <c r="O571" s="27" t="str">
        <f t="shared" si="114"/>
        <v/>
      </c>
      <c r="P571" s="24" t="str">
        <f t="shared" si="107"/>
        <v/>
      </c>
      <c r="Q571" s="27" t="str">
        <f t="shared" si="105"/>
        <v/>
      </c>
      <c r="R571" s="27" t="str">
        <f t="shared" si="109"/>
        <v/>
      </c>
      <c r="T571" s="23" t="str">
        <f t="shared" si="111"/>
        <v/>
      </c>
    </row>
    <row r="572" spans="7:20" x14ac:dyDescent="0.25">
      <c r="G572" s="29" t="str">
        <f t="shared" si="112"/>
        <v/>
      </c>
      <c r="I572" s="24" t="str">
        <f t="shared" si="106"/>
        <v/>
      </c>
      <c r="M572" s="27" t="str">
        <f t="shared" si="113"/>
        <v/>
      </c>
      <c r="O572" s="27" t="str">
        <f t="shared" si="114"/>
        <v/>
      </c>
      <c r="P572" s="24" t="str">
        <f t="shared" si="107"/>
        <v/>
      </c>
      <c r="Q572" s="27" t="str">
        <f t="shared" si="105"/>
        <v/>
      </c>
      <c r="R572" s="27" t="str">
        <f t="shared" si="109"/>
        <v/>
      </c>
      <c r="T572" s="23" t="str">
        <f t="shared" si="111"/>
        <v/>
      </c>
    </row>
    <row r="573" spans="7:20" x14ac:dyDescent="0.25">
      <c r="G573" s="29" t="str">
        <f t="shared" si="112"/>
        <v/>
      </c>
      <c r="I573" s="24" t="str">
        <f t="shared" si="106"/>
        <v/>
      </c>
      <c r="M573" s="27" t="str">
        <f t="shared" si="113"/>
        <v/>
      </c>
      <c r="O573" s="27" t="str">
        <f t="shared" si="114"/>
        <v/>
      </c>
      <c r="P573" s="24" t="str">
        <f t="shared" si="107"/>
        <v/>
      </c>
      <c r="Q573" s="27" t="str">
        <f t="shared" si="105"/>
        <v/>
      </c>
      <c r="R573" s="27" t="str">
        <f t="shared" si="109"/>
        <v/>
      </c>
      <c r="T573" s="23" t="str">
        <f t="shared" si="111"/>
        <v/>
      </c>
    </row>
    <row r="574" spans="7:20" x14ac:dyDescent="0.25">
      <c r="G574" s="29" t="str">
        <f t="shared" si="112"/>
        <v/>
      </c>
      <c r="I574" s="24" t="str">
        <f t="shared" si="106"/>
        <v/>
      </c>
      <c r="M574" s="27" t="str">
        <f t="shared" si="113"/>
        <v/>
      </c>
      <c r="O574" s="27" t="str">
        <f t="shared" si="114"/>
        <v/>
      </c>
      <c r="P574" s="24" t="str">
        <f t="shared" si="107"/>
        <v/>
      </c>
      <c r="Q574" s="27" t="str">
        <f t="shared" si="105"/>
        <v/>
      </c>
      <c r="R574" s="27" t="str">
        <f t="shared" si="109"/>
        <v/>
      </c>
      <c r="T574" s="23" t="str">
        <f t="shared" si="111"/>
        <v/>
      </c>
    </row>
    <row r="575" spans="7:20" x14ac:dyDescent="0.25">
      <c r="G575" s="29" t="str">
        <f t="shared" si="112"/>
        <v/>
      </c>
      <c r="I575" s="24" t="str">
        <f t="shared" si="106"/>
        <v/>
      </c>
      <c r="M575" s="27" t="str">
        <f t="shared" si="113"/>
        <v/>
      </c>
      <c r="O575" s="27" t="str">
        <f t="shared" si="114"/>
        <v/>
      </c>
      <c r="P575" s="24" t="str">
        <f t="shared" si="107"/>
        <v/>
      </c>
      <c r="Q575" s="27" t="str">
        <f t="shared" si="105"/>
        <v/>
      </c>
      <c r="R575" s="27" t="str">
        <f t="shared" si="109"/>
        <v/>
      </c>
      <c r="T575" s="23" t="str">
        <f t="shared" si="111"/>
        <v/>
      </c>
    </row>
    <row r="576" spans="7:20" x14ac:dyDescent="0.25">
      <c r="G576" s="29" t="str">
        <f t="shared" si="112"/>
        <v/>
      </c>
      <c r="I576" s="24" t="str">
        <f t="shared" si="106"/>
        <v/>
      </c>
      <c r="M576" s="27" t="str">
        <f t="shared" si="113"/>
        <v/>
      </c>
      <c r="O576" s="27" t="str">
        <f t="shared" si="114"/>
        <v/>
      </c>
      <c r="P576" s="27" t="str">
        <f t="shared" si="107"/>
        <v/>
      </c>
      <c r="Q576" s="27" t="str">
        <f t="shared" si="105"/>
        <v/>
      </c>
      <c r="R576" s="27" t="str">
        <f t="shared" si="109"/>
        <v/>
      </c>
      <c r="T576" s="23" t="str">
        <f t="shared" si="111"/>
        <v/>
      </c>
    </row>
    <row r="577" spans="7:20" x14ac:dyDescent="0.25">
      <c r="G577" s="29" t="str">
        <f t="shared" si="112"/>
        <v/>
      </c>
      <c r="I577" s="24" t="str">
        <f t="shared" si="106"/>
        <v/>
      </c>
      <c r="M577" s="27" t="str">
        <f t="shared" si="113"/>
        <v/>
      </c>
      <c r="O577" s="27" t="str">
        <f t="shared" si="114"/>
        <v/>
      </c>
      <c r="P577" s="27" t="str">
        <f t="shared" si="107"/>
        <v/>
      </c>
      <c r="Q577" s="27" t="str">
        <f t="shared" si="105"/>
        <v/>
      </c>
      <c r="R577" s="27" t="str">
        <f t="shared" si="109"/>
        <v/>
      </c>
      <c r="T577" s="23" t="str">
        <f t="shared" si="111"/>
        <v/>
      </c>
    </row>
    <row r="578" spans="7:20" x14ac:dyDescent="0.25">
      <c r="G578" s="29" t="str">
        <f t="shared" si="112"/>
        <v/>
      </c>
      <c r="I578" s="24" t="str">
        <f t="shared" si="106"/>
        <v/>
      </c>
      <c r="M578" s="27" t="str">
        <f t="shared" si="113"/>
        <v/>
      </c>
      <c r="O578" s="27" t="str">
        <f t="shared" si="114"/>
        <v/>
      </c>
      <c r="P578" s="27" t="str">
        <f t="shared" si="107"/>
        <v/>
      </c>
      <c r="Q578" s="27" t="str">
        <f t="shared" si="105"/>
        <v/>
      </c>
      <c r="R578" s="27" t="str">
        <f t="shared" si="109"/>
        <v/>
      </c>
      <c r="T578" s="23" t="str">
        <f t="shared" si="111"/>
        <v/>
      </c>
    </row>
    <row r="579" spans="7:20" x14ac:dyDescent="0.25">
      <c r="G579" s="29" t="str">
        <f t="shared" si="112"/>
        <v/>
      </c>
      <c r="I579" s="24" t="str">
        <f t="shared" si="106"/>
        <v/>
      </c>
      <c r="M579" s="27" t="str">
        <f t="shared" si="113"/>
        <v/>
      </c>
      <c r="O579" s="27" t="str">
        <f t="shared" si="114"/>
        <v/>
      </c>
      <c r="P579" s="27" t="str">
        <f t="shared" si="107"/>
        <v/>
      </c>
      <c r="Q579" s="27" t="str">
        <f t="shared" ref="Q579:Q642" si="115">IF(P579="","",P579/500*12)</f>
        <v/>
      </c>
      <c r="R579" s="27" t="str">
        <f t="shared" si="109"/>
        <v/>
      </c>
      <c r="T579" s="23" t="str">
        <f t="shared" si="111"/>
        <v/>
      </c>
    </row>
    <row r="580" spans="7:20" x14ac:dyDescent="0.25">
      <c r="G580" s="29" t="str">
        <f t="shared" si="112"/>
        <v/>
      </c>
      <c r="I580" s="24" t="str">
        <f t="shared" si="106"/>
        <v/>
      </c>
      <c r="M580" s="27" t="str">
        <f t="shared" si="113"/>
        <v/>
      </c>
      <c r="O580" s="27" t="str">
        <f t="shared" si="114"/>
        <v/>
      </c>
      <c r="P580" s="27" t="str">
        <f t="shared" si="107"/>
        <v/>
      </c>
      <c r="Q580" s="27" t="str">
        <f t="shared" si="115"/>
        <v/>
      </c>
      <c r="R580" s="27" t="str">
        <f t="shared" si="109"/>
        <v/>
      </c>
      <c r="T580" s="23" t="str">
        <f t="shared" si="111"/>
        <v/>
      </c>
    </row>
    <row r="581" spans="7:20" x14ac:dyDescent="0.25">
      <c r="G581" s="29" t="str">
        <f t="shared" si="112"/>
        <v/>
      </c>
      <c r="I581" s="24" t="str">
        <f t="shared" si="106"/>
        <v/>
      </c>
      <c r="M581" s="27" t="str">
        <f t="shared" si="113"/>
        <v/>
      </c>
      <c r="O581" s="27" t="str">
        <f t="shared" si="114"/>
        <v/>
      </c>
      <c r="P581" s="27" t="str">
        <f t="shared" si="107"/>
        <v/>
      </c>
      <c r="Q581" s="27" t="str">
        <f t="shared" si="115"/>
        <v/>
      </c>
      <c r="R581" s="27" t="str">
        <f t="shared" si="109"/>
        <v/>
      </c>
      <c r="T581" s="23" t="str">
        <f t="shared" si="111"/>
        <v/>
      </c>
    </row>
    <row r="582" spans="7:20" x14ac:dyDescent="0.25">
      <c r="G582" s="29" t="str">
        <f t="shared" si="112"/>
        <v/>
      </c>
      <c r="I582" s="24" t="str">
        <f t="shared" si="106"/>
        <v/>
      </c>
      <c r="M582" s="27" t="str">
        <f t="shared" si="113"/>
        <v/>
      </c>
      <c r="O582" s="27" t="str">
        <f t="shared" si="114"/>
        <v/>
      </c>
      <c r="P582" s="27" t="str">
        <f t="shared" si="107"/>
        <v/>
      </c>
      <c r="Q582" s="27" t="str">
        <f t="shared" si="115"/>
        <v/>
      </c>
      <c r="R582" s="27" t="str">
        <f t="shared" si="109"/>
        <v/>
      </c>
      <c r="T582" s="23" t="str">
        <f t="shared" si="111"/>
        <v/>
      </c>
    </row>
    <row r="583" spans="7:20" x14ac:dyDescent="0.25">
      <c r="G583" s="29" t="str">
        <f t="shared" si="112"/>
        <v/>
      </c>
      <c r="I583" s="24" t="str">
        <f t="shared" si="106"/>
        <v/>
      </c>
      <c r="M583" s="27" t="str">
        <f t="shared" si="113"/>
        <v/>
      </c>
      <c r="O583" s="27" t="str">
        <f t="shared" si="114"/>
        <v/>
      </c>
      <c r="P583" s="27" t="str">
        <f t="shared" si="107"/>
        <v/>
      </c>
      <c r="Q583" s="27" t="str">
        <f t="shared" si="115"/>
        <v/>
      </c>
      <c r="R583" s="27" t="str">
        <f t="shared" si="109"/>
        <v/>
      </c>
      <c r="T583" s="23" t="str">
        <f t="shared" si="111"/>
        <v/>
      </c>
    </row>
    <row r="584" spans="7:20" x14ac:dyDescent="0.25">
      <c r="G584" s="29" t="str">
        <f t="shared" si="112"/>
        <v/>
      </c>
      <c r="I584" s="24" t="str">
        <f t="shared" si="106"/>
        <v/>
      </c>
      <c r="M584" s="27" t="str">
        <f t="shared" si="113"/>
        <v/>
      </c>
      <c r="O584" s="27" t="str">
        <f t="shared" si="114"/>
        <v/>
      </c>
      <c r="P584" s="27" t="str">
        <f t="shared" si="107"/>
        <v/>
      </c>
      <c r="Q584" s="27" t="str">
        <f t="shared" si="115"/>
        <v/>
      </c>
      <c r="R584" s="27" t="str">
        <f t="shared" si="109"/>
        <v/>
      </c>
      <c r="T584" s="23" t="str">
        <f t="shared" si="111"/>
        <v/>
      </c>
    </row>
    <row r="585" spans="7:20" x14ac:dyDescent="0.25">
      <c r="G585" s="29" t="str">
        <f t="shared" si="112"/>
        <v/>
      </c>
      <c r="I585" s="24" t="str">
        <f t="shared" si="106"/>
        <v/>
      </c>
      <c r="M585" s="27" t="str">
        <f t="shared" si="113"/>
        <v/>
      </c>
      <c r="O585" s="27" t="str">
        <f t="shared" si="114"/>
        <v/>
      </c>
      <c r="P585" s="27" t="str">
        <f t="shared" si="107"/>
        <v/>
      </c>
      <c r="Q585" s="27" t="str">
        <f t="shared" si="115"/>
        <v/>
      </c>
      <c r="R585" s="27" t="str">
        <f t="shared" si="109"/>
        <v/>
      </c>
      <c r="T585" s="23" t="str">
        <f t="shared" si="111"/>
        <v/>
      </c>
    </row>
    <row r="586" spans="7:20" x14ac:dyDescent="0.25">
      <c r="G586" s="29" t="str">
        <f t="shared" si="112"/>
        <v/>
      </c>
      <c r="I586" s="24" t="str">
        <f t="shared" si="106"/>
        <v/>
      </c>
      <c r="M586" s="27" t="str">
        <f t="shared" si="113"/>
        <v/>
      </c>
      <c r="O586" s="27" t="str">
        <f t="shared" si="114"/>
        <v/>
      </c>
      <c r="P586" s="27" t="str">
        <f t="shared" si="107"/>
        <v/>
      </c>
      <c r="Q586" s="27" t="str">
        <f t="shared" si="115"/>
        <v/>
      </c>
      <c r="R586" s="27" t="str">
        <f t="shared" si="109"/>
        <v/>
      </c>
      <c r="T586" s="23" t="str">
        <f t="shared" si="111"/>
        <v/>
      </c>
    </row>
    <row r="587" spans="7:20" x14ac:dyDescent="0.25">
      <c r="G587" s="29" t="str">
        <f t="shared" si="112"/>
        <v/>
      </c>
      <c r="I587" s="24" t="str">
        <f t="shared" si="106"/>
        <v/>
      </c>
      <c r="M587" s="27" t="str">
        <f t="shared" si="113"/>
        <v/>
      </c>
      <c r="O587" s="27" t="str">
        <f t="shared" si="114"/>
        <v/>
      </c>
      <c r="P587" s="27" t="str">
        <f t="shared" si="107"/>
        <v/>
      </c>
      <c r="Q587" s="27" t="str">
        <f t="shared" si="115"/>
        <v/>
      </c>
      <c r="R587" s="27" t="str">
        <f t="shared" si="109"/>
        <v/>
      </c>
      <c r="T587" s="23" t="str">
        <f t="shared" si="111"/>
        <v/>
      </c>
    </row>
    <row r="588" spans="7:20" x14ac:dyDescent="0.25">
      <c r="G588" s="29" t="str">
        <f t="shared" si="112"/>
        <v/>
      </c>
      <c r="I588" s="24" t="str">
        <f t="shared" si="106"/>
        <v/>
      </c>
      <c r="M588" s="27" t="str">
        <f t="shared" si="113"/>
        <v/>
      </c>
      <c r="O588" s="27" t="str">
        <f t="shared" si="114"/>
        <v/>
      </c>
      <c r="P588" s="27" t="str">
        <f t="shared" si="107"/>
        <v/>
      </c>
      <c r="Q588" s="27" t="str">
        <f t="shared" si="115"/>
        <v/>
      </c>
      <c r="R588" s="27" t="str">
        <f t="shared" si="109"/>
        <v/>
      </c>
      <c r="T588" s="23" t="str">
        <f t="shared" si="111"/>
        <v/>
      </c>
    </row>
    <row r="589" spans="7:20" x14ac:dyDescent="0.25">
      <c r="G589" s="29" t="str">
        <f t="shared" si="112"/>
        <v/>
      </c>
      <c r="I589" s="24" t="str">
        <f t="shared" si="106"/>
        <v/>
      </c>
      <c r="M589" s="27" t="str">
        <f t="shared" si="113"/>
        <v/>
      </c>
      <c r="O589" s="27" t="str">
        <f t="shared" si="114"/>
        <v/>
      </c>
      <c r="P589" s="27" t="str">
        <f t="shared" si="107"/>
        <v/>
      </c>
      <c r="Q589" s="27" t="str">
        <f t="shared" si="115"/>
        <v/>
      </c>
      <c r="R589" s="27" t="str">
        <f t="shared" si="109"/>
        <v/>
      </c>
      <c r="T589" s="23" t="str">
        <f t="shared" si="111"/>
        <v/>
      </c>
    </row>
    <row r="590" spans="7:20" x14ac:dyDescent="0.25">
      <c r="G590" s="29" t="str">
        <f t="shared" si="112"/>
        <v/>
      </c>
      <c r="I590" s="24" t="str">
        <f t="shared" si="106"/>
        <v/>
      </c>
      <c r="M590" s="27" t="str">
        <f t="shared" si="113"/>
        <v/>
      </c>
      <c r="O590" s="27" t="str">
        <f t="shared" si="114"/>
        <v/>
      </c>
      <c r="P590" s="27" t="str">
        <f t="shared" si="107"/>
        <v/>
      </c>
      <c r="Q590" s="27" t="str">
        <f t="shared" si="115"/>
        <v/>
      </c>
      <c r="R590" s="27" t="str">
        <f t="shared" si="109"/>
        <v/>
      </c>
      <c r="T590" s="23" t="str">
        <f t="shared" si="111"/>
        <v/>
      </c>
    </row>
    <row r="591" spans="7:20" x14ac:dyDescent="0.25">
      <c r="G591" s="29" t="str">
        <f t="shared" si="112"/>
        <v/>
      </c>
      <c r="I591" s="24" t="str">
        <f t="shared" si="106"/>
        <v/>
      </c>
      <c r="M591" s="27" t="str">
        <f t="shared" si="113"/>
        <v/>
      </c>
      <c r="O591" s="27" t="str">
        <f t="shared" si="114"/>
        <v/>
      </c>
      <c r="P591" s="27" t="str">
        <f t="shared" si="107"/>
        <v/>
      </c>
      <c r="Q591" s="27" t="str">
        <f t="shared" si="115"/>
        <v/>
      </c>
      <c r="R591" s="27" t="str">
        <f t="shared" si="109"/>
        <v/>
      </c>
      <c r="T591" s="23" t="str">
        <f t="shared" si="111"/>
        <v/>
      </c>
    </row>
    <row r="592" spans="7:20" x14ac:dyDescent="0.25">
      <c r="G592" s="29" t="str">
        <f t="shared" si="112"/>
        <v/>
      </c>
      <c r="I592" s="24" t="str">
        <f t="shared" si="106"/>
        <v/>
      </c>
      <c r="M592" s="27" t="str">
        <f t="shared" si="113"/>
        <v/>
      </c>
      <c r="O592" s="27" t="str">
        <f t="shared" si="114"/>
        <v/>
      </c>
      <c r="P592" s="27" t="str">
        <f t="shared" si="107"/>
        <v/>
      </c>
      <c r="Q592" s="27" t="str">
        <f t="shared" si="115"/>
        <v/>
      </c>
      <c r="R592" s="27" t="str">
        <f t="shared" si="109"/>
        <v/>
      </c>
      <c r="T592" s="23" t="str">
        <f t="shared" si="111"/>
        <v/>
      </c>
    </row>
    <row r="593" spans="7:20" x14ac:dyDescent="0.25">
      <c r="G593" s="29" t="str">
        <f t="shared" si="112"/>
        <v/>
      </c>
      <c r="I593" s="24" t="str">
        <f t="shared" si="106"/>
        <v/>
      </c>
      <c r="M593" s="27" t="str">
        <f t="shared" si="113"/>
        <v/>
      </c>
      <c r="O593" s="27" t="str">
        <f t="shared" si="114"/>
        <v/>
      </c>
      <c r="P593" s="27" t="str">
        <f t="shared" si="107"/>
        <v/>
      </c>
      <c r="Q593" s="27" t="str">
        <f t="shared" si="115"/>
        <v/>
      </c>
      <c r="R593" s="27" t="str">
        <f t="shared" si="109"/>
        <v/>
      </c>
      <c r="T593" s="23" t="str">
        <f t="shared" si="111"/>
        <v/>
      </c>
    </row>
    <row r="594" spans="7:20" x14ac:dyDescent="0.25">
      <c r="G594" s="29" t="str">
        <f t="shared" si="112"/>
        <v/>
      </c>
      <c r="I594" s="24" t="str">
        <f t="shared" si="106"/>
        <v/>
      </c>
      <c r="M594" s="27" t="str">
        <f t="shared" si="113"/>
        <v/>
      </c>
      <c r="O594" s="27" t="str">
        <f t="shared" si="114"/>
        <v/>
      </c>
      <c r="P594" s="27" t="str">
        <f t="shared" si="107"/>
        <v/>
      </c>
      <c r="Q594" s="27" t="str">
        <f t="shared" si="115"/>
        <v/>
      </c>
      <c r="R594" s="27" t="str">
        <f t="shared" si="109"/>
        <v/>
      </c>
      <c r="T594" s="23" t="str">
        <f t="shared" si="111"/>
        <v/>
      </c>
    </row>
    <row r="595" spans="7:20" x14ac:dyDescent="0.25">
      <c r="G595" s="29" t="str">
        <f t="shared" si="112"/>
        <v/>
      </c>
      <c r="I595" s="24" t="str">
        <f t="shared" si="106"/>
        <v/>
      </c>
      <c r="M595" s="27" t="str">
        <f t="shared" si="113"/>
        <v/>
      </c>
      <c r="O595" s="27" t="str">
        <f t="shared" si="114"/>
        <v/>
      </c>
      <c r="P595" s="27" t="str">
        <f t="shared" si="107"/>
        <v/>
      </c>
      <c r="Q595" s="27" t="str">
        <f t="shared" si="115"/>
        <v/>
      </c>
      <c r="R595" s="27" t="str">
        <f t="shared" si="109"/>
        <v/>
      </c>
      <c r="T595" s="23" t="str">
        <f t="shared" si="111"/>
        <v/>
      </c>
    </row>
    <row r="596" spans="7:20" x14ac:dyDescent="0.25">
      <c r="G596" s="29" t="str">
        <f t="shared" si="112"/>
        <v/>
      </c>
      <c r="I596" s="24" t="str">
        <f t="shared" si="106"/>
        <v/>
      </c>
      <c r="M596" s="27" t="str">
        <f t="shared" si="113"/>
        <v/>
      </c>
      <c r="O596" s="27" t="str">
        <f t="shared" si="114"/>
        <v/>
      </c>
      <c r="P596" s="27" t="str">
        <f t="shared" si="107"/>
        <v/>
      </c>
      <c r="Q596" s="27" t="str">
        <f t="shared" si="115"/>
        <v/>
      </c>
      <c r="R596" s="27" t="str">
        <f t="shared" si="109"/>
        <v/>
      </c>
      <c r="T596" s="23" t="str">
        <f t="shared" si="111"/>
        <v/>
      </c>
    </row>
    <row r="597" spans="7:20" x14ac:dyDescent="0.25">
      <c r="G597" s="29" t="str">
        <f t="shared" si="112"/>
        <v/>
      </c>
      <c r="I597" s="24" t="str">
        <f t="shared" si="106"/>
        <v/>
      </c>
      <c r="M597" s="27" t="str">
        <f t="shared" si="113"/>
        <v/>
      </c>
      <c r="O597" s="27" t="str">
        <f t="shared" si="114"/>
        <v/>
      </c>
      <c r="P597" s="27" t="str">
        <f t="shared" si="107"/>
        <v/>
      </c>
      <c r="Q597" s="27" t="str">
        <f t="shared" si="115"/>
        <v/>
      </c>
      <c r="R597" s="27" t="str">
        <f t="shared" si="109"/>
        <v/>
      </c>
      <c r="T597" s="23" t="str">
        <f t="shared" si="111"/>
        <v/>
      </c>
    </row>
    <row r="598" spans="7:20" x14ac:dyDescent="0.25">
      <c r="G598" s="29" t="str">
        <f t="shared" si="112"/>
        <v/>
      </c>
      <c r="I598" s="24" t="str">
        <f t="shared" si="106"/>
        <v/>
      </c>
      <c r="M598" s="27" t="str">
        <f t="shared" si="113"/>
        <v/>
      </c>
      <c r="O598" s="27" t="str">
        <f t="shared" si="114"/>
        <v/>
      </c>
      <c r="P598" s="27" t="str">
        <f t="shared" si="107"/>
        <v/>
      </c>
      <c r="Q598" s="27" t="str">
        <f t="shared" si="115"/>
        <v/>
      </c>
      <c r="R598" s="27" t="str">
        <f t="shared" si="109"/>
        <v/>
      </c>
      <c r="T598" s="23" t="str">
        <f t="shared" si="111"/>
        <v/>
      </c>
    </row>
    <row r="599" spans="7:20" x14ac:dyDescent="0.25">
      <c r="G599" s="29" t="str">
        <f t="shared" si="112"/>
        <v/>
      </c>
      <c r="I599" s="24" t="str">
        <f t="shared" si="106"/>
        <v/>
      </c>
      <c r="M599" s="27" t="str">
        <f t="shared" si="113"/>
        <v/>
      </c>
      <c r="O599" s="27" t="str">
        <f t="shared" si="114"/>
        <v/>
      </c>
      <c r="P599" s="27" t="str">
        <f t="shared" si="107"/>
        <v/>
      </c>
      <c r="Q599" s="27" t="str">
        <f t="shared" si="115"/>
        <v/>
      </c>
      <c r="R599" s="27" t="str">
        <f t="shared" si="109"/>
        <v/>
      </c>
      <c r="T599" s="23" t="str">
        <f t="shared" si="111"/>
        <v/>
      </c>
    </row>
    <row r="600" spans="7:20" x14ac:dyDescent="0.25">
      <c r="G600" s="29" t="str">
        <f t="shared" si="112"/>
        <v/>
      </c>
      <c r="I600" s="24" t="str">
        <f t="shared" ref="I600:I663" si="116">IF(H600="","",VLOOKUP(H600,$Y$4:$Z$15,2,TRUE))</f>
        <v/>
      </c>
      <c r="M600" s="27" t="str">
        <f t="shared" si="113"/>
        <v/>
      </c>
      <c r="O600" s="27" t="str">
        <f t="shared" si="114"/>
        <v/>
      </c>
      <c r="P600" s="27" t="str">
        <f t="shared" si="107"/>
        <v/>
      </c>
      <c r="Q600" s="27" t="str">
        <f t="shared" si="115"/>
        <v/>
      </c>
      <c r="R600" s="27" t="str">
        <f t="shared" si="109"/>
        <v/>
      </c>
      <c r="T600" s="23" t="str">
        <f t="shared" si="111"/>
        <v/>
      </c>
    </row>
    <row r="601" spans="7:20" x14ac:dyDescent="0.25">
      <c r="G601" s="29" t="str">
        <f t="shared" si="112"/>
        <v/>
      </c>
      <c r="I601" s="24" t="str">
        <f t="shared" si="116"/>
        <v/>
      </c>
      <c r="M601" s="27" t="str">
        <f t="shared" si="113"/>
        <v/>
      </c>
      <c r="O601" s="27" t="str">
        <f t="shared" si="114"/>
        <v/>
      </c>
      <c r="P601" s="27" t="str">
        <f t="shared" ref="P601:P664" si="117">IF(COUNT(F601:O601)=0,"",SUM(F601:O601))</f>
        <v/>
      </c>
      <c r="Q601" s="27" t="str">
        <f t="shared" si="115"/>
        <v/>
      </c>
      <c r="R601" s="27" t="str">
        <f t="shared" si="109"/>
        <v/>
      </c>
      <c r="T601" s="23" t="str">
        <f t="shared" si="111"/>
        <v/>
      </c>
    </row>
    <row r="602" spans="7:20" x14ac:dyDescent="0.25">
      <c r="G602" s="29" t="str">
        <f t="shared" ref="G602:G633" si="118">IF(F602="","",VLOOKUP(F602,$Y$4:$Z$15,2,TRUE))</f>
        <v/>
      </c>
      <c r="I602" s="24" t="str">
        <f t="shared" si="116"/>
        <v/>
      </c>
      <c r="M602" s="27" t="str">
        <f t="shared" si="113"/>
        <v/>
      </c>
      <c r="O602" s="27" t="str">
        <f t="shared" si="114"/>
        <v/>
      </c>
      <c r="P602" s="27" t="str">
        <f t="shared" si="117"/>
        <v/>
      </c>
      <c r="Q602" s="27" t="str">
        <f t="shared" si="115"/>
        <v/>
      </c>
      <c r="R602" s="27" t="str">
        <f t="shared" si="109"/>
        <v/>
      </c>
      <c r="T602" s="23" t="str">
        <f t="shared" si="111"/>
        <v/>
      </c>
    </row>
    <row r="603" spans="7:20" x14ac:dyDescent="0.25">
      <c r="G603" s="29" t="str">
        <f t="shared" si="118"/>
        <v/>
      </c>
      <c r="I603" s="24" t="str">
        <f t="shared" si="116"/>
        <v/>
      </c>
      <c r="M603" s="27" t="str">
        <f t="shared" si="113"/>
        <v/>
      </c>
      <c r="O603" s="27" t="str">
        <f t="shared" si="114"/>
        <v/>
      </c>
      <c r="P603" s="27" t="str">
        <f t="shared" si="117"/>
        <v/>
      </c>
      <c r="Q603" s="27" t="str">
        <f t="shared" si="115"/>
        <v/>
      </c>
      <c r="R603" s="27" t="str">
        <f t="shared" si="109"/>
        <v/>
      </c>
      <c r="T603" s="23" t="str">
        <f t="shared" si="111"/>
        <v/>
      </c>
    </row>
    <row r="604" spans="7:20" x14ac:dyDescent="0.25">
      <c r="G604" s="29" t="str">
        <f t="shared" si="118"/>
        <v/>
      </c>
      <c r="I604" s="24" t="str">
        <f t="shared" si="116"/>
        <v/>
      </c>
      <c r="M604" s="27" t="str">
        <f t="shared" si="113"/>
        <v/>
      </c>
      <c r="O604" s="27" t="str">
        <f t="shared" si="114"/>
        <v/>
      </c>
      <c r="P604" s="27" t="str">
        <f t="shared" si="117"/>
        <v/>
      </c>
      <c r="Q604" s="27" t="str">
        <f t="shared" si="115"/>
        <v/>
      </c>
      <c r="R604" s="27" t="str">
        <f t="shared" si="109"/>
        <v/>
      </c>
      <c r="T604" s="23" t="str">
        <f t="shared" si="111"/>
        <v/>
      </c>
    </row>
    <row r="605" spans="7:20" x14ac:dyDescent="0.25">
      <c r="G605" s="29" t="str">
        <f t="shared" si="118"/>
        <v/>
      </c>
      <c r="I605" s="24" t="str">
        <f t="shared" si="116"/>
        <v/>
      </c>
      <c r="M605" s="27" t="str">
        <f t="shared" si="113"/>
        <v/>
      </c>
      <c r="O605" s="27" t="str">
        <f t="shared" si="114"/>
        <v/>
      </c>
      <c r="P605" s="27" t="str">
        <f t="shared" si="117"/>
        <v/>
      </c>
      <c r="Q605" s="27" t="str">
        <f t="shared" si="115"/>
        <v/>
      </c>
      <c r="R605" s="27" t="str">
        <f t="shared" si="109"/>
        <v/>
      </c>
      <c r="T605" s="23" t="str">
        <f t="shared" si="111"/>
        <v/>
      </c>
    </row>
    <row r="606" spans="7:20" x14ac:dyDescent="0.25">
      <c r="G606" s="29" t="str">
        <f t="shared" si="118"/>
        <v/>
      </c>
      <c r="I606" s="24" t="str">
        <f t="shared" si="116"/>
        <v/>
      </c>
      <c r="M606" s="27" t="str">
        <f t="shared" si="113"/>
        <v/>
      </c>
      <c r="O606" s="27" t="str">
        <f t="shared" si="114"/>
        <v/>
      </c>
      <c r="P606" s="27" t="str">
        <f t="shared" si="117"/>
        <v/>
      </c>
      <c r="Q606" s="27" t="str">
        <f t="shared" si="115"/>
        <v/>
      </c>
      <c r="R606" s="27" t="str">
        <f t="shared" si="109"/>
        <v/>
      </c>
      <c r="T606" s="23" t="str">
        <f t="shared" si="111"/>
        <v/>
      </c>
    </row>
    <row r="607" spans="7:20" x14ac:dyDescent="0.25">
      <c r="G607" s="29" t="str">
        <f t="shared" si="118"/>
        <v/>
      </c>
      <c r="I607" s="24" t="str">
        <f t="shared" si="116"/>
        <v/>
      </c>
      <c r="M607" s="27" t="str">
        <f t="shared" si="113"/>
        <v/>
      </c>
      <c r="O607" s="27" t="str">
        <f t="shared" si="114"/>
        <v/>
      </c>
      <c r="P607" s="27" t="str">
        <f t="shared" si="117"/>
        <v/>
      </c>
      <c r="Q607" s="27" t="str">
        <f t="shared" si="115"/>
        <v/>
      </c>
      <c r="R607" s="27" t="str">
        <f t="shared" ref="R607:R670" si="119">IF(Q607="","",VLOOKUP(Q607,$W$4:$X$15,2,TRUE))</f>
        <v/>
      </c>
      <c r="T607" s="23" t="str">
        <f t="shared" ref="T607:T653" si="120">IFERROR(VLOOKUP(R607,$AA$4:$AB$15,2,FALSE),"")</f>
        <v/>
      </c>
    </row>
    <row r="608" spans="7:20" x14ac:dyDescent="0.25">
      <c r="G608" s="29" t="str">
        <f t="shared" si="118"/>
        <v/>
      </c>
      <c r="I608" s="24" t="str">
        <f t="shared" si="116"/>
        <v/>
      </c>
      <c r="M608" s="27" t="str">
        <f t="shared" si="113"/>
        <v/>
      </c>
      <c r="O608" s="27" t="str">
        <f t="shared" si="114"/>
        <v/>
      </c>
      <c r="P608" s="27" t="str">
        <f t="shared" si="117"/>
        <v/>
      </c>
      <c r="Q608" s="27" t="str">
        <f t="shared" si="115"/>
        <v/>
      </c>
      <c r="R608" s="27" t="str">
        <f t="shared" si="119"/>
        <v/>
      </c>
      <c r="T608" s="23" t="str">
        <f t="shared" si="120"/>
        <v/>
      </c>
    </row>
    <row r="609" spans="7:20" x14ac:dyDescent="0.25">
      <c r="G609" s="29" t="str">
        <f t="shared" si="118"/>
        <v/>
      </c>
      <c r="I609" s="24" t="str">
        <f t="shared" si="116"/>
        <v/>
      </c>
      <c r="M609" s="27" t="str">
        <f t="shared" si="113"/>
        <v/>
      </c>
      <c r="O609" s="27" t="str">
        <f t="shared" si="114"/>
        <v/>
      </c>
      <c r="P609" s="27" t="str">
        <f t="shared" si="117"/>
        <v/>
      </c>
      <c r="Q609" s="27" t="str">
        <f t="shared" si="115"/>
        <v/>
      </c>
      <c r="R609" s="27" t="str">
        <f t="shared" si="119"/>
        <v/>
      </c>
      <c r="T609" s="23" t="str">
        <f t="shared" si="120"/>
        <v/>
      </c>
    </row>
    <row r="610" spans="7:20" x14ac:dyDescent="0.25">
      <c r="G610" s="29" t="str">
        <f t="shared" si="118"/>
        <v/>
      </c>
      <c r="I610" s="24" t="str">
        <f t="shared" si="116"/>
        <v/>
      </c>
      <c r="M610" s="27" t="str">
        <f t="shared" si="113"/>
        <v/>
      </c>
      <c r="O610" s="27" t="str">
        <f t="shared" si="114"/>
        <v/>
      </c>
      <c r="P610" s="27" t="str">
        <f t="shared" si="117"/>
        <v/>
      </c>
      <c r="Q610" s="27" t="str">
        <f t="shared" si="115"/>
        <v/>
      </c>
      <c r="R610" s="27" t="str">
        <f t="shared" si="119"/>
        <v/>
      </c>
      <c r="T610" s="23" t="str">
        <f t="shared" si="120"/>
        <v/>
      </c>
    </row>
    <row r="611" spans="7:20" x14ac:dyDescent="0.25">
      <c r="G611" s="29" t="str">
        <f t="shared" si="118"/>
        <v/>
      </c>
      <c r="I611" s="24" t="str">
        <f t="shared" si="116"/>
        <v/>
      </c>
      <c r="M611" s="27" t="str">
        <f t="shared" si="113"/>
        <v/>
      </c>
      <c r="O611" s="27" t="str">
        <f t="shared" si="114"/>
        <v/>
      </c>
      <c r="P611" s="27" t="str">
        <f t="shared" si="117"/>
        <v/>
      </c>
      <c r="Q611" s="27" t="str">
        <f t="shared" si="115"/>
        <v/>
      </c>
      <c r="R611" s="27" t="str">
        <f t="shared" si="119"/>
        <v/>
      </c>
      <c r="T611" s="23" t="str">
        <f t="shared" si="120"/>
        <v/>
      </c>
    </row>
    <row r="612" spans="7:20" x14ac:dyDescent="0.25">
      <c r="G612" s="29" t="str">
        <f t="shared" si="118"/>
        <v/>
      </c>
      <c r="I612" s="24" t="str">
        <f t="shared" si="116"/>
        <v/>
      </c>
      <c r="M612" s="27" t="str">
        <f t="shared" si="113"/>
        <v/>
      </c>
      <c r="O612" s="27" t="str">
        <f t="shared" si="114"/>
        <v/>
      </c>
      <c r="P612" s="27" t="str">
        <f t="shared" si="117"/>
        <v/>
      </c>
      <c r="Q612" s="27" t="str">
        <f t="shared" si="115"/>
        <v/>
      </c>
      <c r="R612" s="27" t="str">
        <f t="shared" si="119"/>
        <v/>
      </c>
      <c r="T612" s="23" t="str">
        <f t="shared" si="120"/>
        <v/>
      </c>
    </row>
    <row r="613" spans="7:20" x14ac:dyDescent="0.25">
      <c r="G613" s="29" t="str">
        <f t="shared" si="118"/>
        <v/>
      </c>
      <c r="I613" s="24" t="str">
        <f t="shared" si="116"/>
        <v/>
      </c>
      <c r="M613" s="27" t="str">
        <f t="shared" si="113"/>
        <v/>
      </c>
      <c r="O613" s="27" t="str">
        <f t="shared" si="114"/>
        <v/>
      </c>
      <c r="P613" s="27" t="str">
        <f t="shared" si="117"/>
        <v/>
      </c>
      <c r="Q613" s="27" t="str">
        <f t="shared" si="115"/>
        <v/>
      </c>
      <c r="R613" s="27" t="str">
        <f t="shared" si="119"/>
        <v/>
      </c>
      <c r="T613" s="23" t="str">
        <f t="shared" si="120"/>
        <v/>
      </c>
    </row>
    <row r="614" spans="7:20" x14ac:dyDescent="0.25">
      <c r="G614" s="29" t="str">
        <f t="shared" si="118"/>
        <v/>
      </c>
      <c r="I614" s="24" t="str">
        <f t="shared" si="116"/>
        <v/>
      </c>
      <c r="M614" s="27" t="str">
        <f t="shared" si="113"/>
        <v/>
      </c>
      <c r="O614" s="27" t="str">
        <f t="shared" si="114"/>
        <v/>
      </c>
      <c r="P614" s="27" t="str">
        <f t="shared" si="117"/>
        <v/>
      </c>
      <c r="Q614" s="27" t="str">
        <f t="shared" si="115"/>
        <v/>
      </c>
      <c r="R614" s="27" t="str">
        <f t="shared" si="119"/>
        <v/>
      </c>
      <c r="T614" s="23" t="str">
        <f t="shared" si="120"/>
        <v/>
      </c>
    </row>
    <row r="615" spans="7:20" x14ac:dyDescent="0.25">
      <c r="G615" s="29" t="str">
        <f t="shared" si="118"/>
        <v/>
      </c>
      <c r="I615" s="24" t="str">
        <f t="shared" si="116"/>
        <v/>
      </c>
      <c r="M615" s="27" t="str">
        <f t="shared" si="113"/>
        <v/>
      </c>
      <c r="O615" s="27" t="str">
        <f t="shared" si="114"/>
        <v/>
      </c>
      <c r="P615" s="27" t="str">
        <f t="shared" si="117"/>
        <v/>
      </c>
      <c r="Q615" s="27" t="str">
        <f t="shared" si="115"/>
        <v/>
      </c>
      <c r="R615" s="27" t="str">
        <f t="shared" si="119"/>
        <v/>
      </c>
      <c r="T615" s="23" t="str">
        <f t="shared" si="120"/>
        <v/>
      </c>
    </row>
    <row r="616" spans="7:20" x14ac:dyDescent="0.25">
      <c r="G616" s="29" t="str">
        <f t="shared" si="118"/>
        <v/>
      </c>
      <c r="I616" s="24" t="str">
        <f t="shared" si="116"/>
        <v/>
      </c>
      <c r="M616" s="27" t="str">
        <f t="shared" si="113"/>
        <v/>
      </c>
      <c r="O616" s="27" t="str">
        <f t="shared" si="114"/>
        <v/>
      </c>
      <c r="P616" s="27" t="str">
        <f t="shared" si="117"/>
        <v/>
      </c>
      <c r="Q616" s="27" t="str">
        <f t="shared" si="115"/>
        <v/>
      </c>
      <c r="R616" s="27" t="str">
        <f t="shared" si="119"/>
        <v/>
      </c>
      <c r="T616" s="23" t="str">
        <f t="shared" si="120"/>
        <v/>
      </c>
    </row>
    <row r="617" spans="7:20" x14ac:dyDescent="0.25">
      <c r="G617" s="29" t="str">
        <f t="shared" si="118"/>
        <v/>
      </c>
      <c r="I617" s="24" t="str">
        <f t="shared" si="116"/>
        <v/>
      </c>
      <c r="M617" s="27" t="str">
        <f t="shared" si="113"/>
        <v/>
      </c>
      <c r="O617" s="27" t="str">
        <f t="shared" si="114"/>
        <v/>
      </c>
      <c r="P617" s="27" t="str">
        <f t="shared" si="117"/>
        <v/>
      </c>
      <c r="Q617" s="27" t="str">
        <f t="shared" si="115"/>
        <v/>
      </c>
      <c r="R617" s="27" t="str">
        <f t="shared" si="119"/>
        <v/>
      </c>
      <c r="T617" s="23" t="str">
        <f t="shared" si="120"/>
        <v/>
      </c>
    </row>
    <row r="618" spans="7:20" x14ac:dyDescent="0.25">
      <c r="G618" s="29" t="str">
        <f t="shared" si="118"/>
        <v/>
      </c>
      <c r="I618" s="24" t="str">
        <f t="shared" si="116"/>
        <v/>
      </c>
      <c r="M618" s="27" t="str">
        <f t="shared" si="113"/>
        <v/>
      </c>
      <c r="O618" s="27" t="str">
        <f t="shared" si="114"/>
        <v/>
      </c>
      <c r="P618" s="27" t="str">
        <f t="shared" si="117"/>
        <v/>
      </c>
      <c r="Q618" s="27" t="str">
        <f t="shared" si="115"/>
        <v/>
      </c>
      <c r="R618" s="27" t="str">
        <f t="shared" si="119"/>
        <v/>
      </c>
      <c r="T618" s="23" t="str">
        <f t="shared" si="120"/>
        <v/>
      </c>
    </row>
    <row r="619" spans="7:20" x14ac:dyDescent="0.25">
      <c r="G619" s="29" t="str">
        <f t="shared" si="118"/>
        <v/>
      </c>
      <c r="I619" s="24" t="str">
        <f t="shared" si="116"/>
        <v/>
      </c>
      <c r="M619" s="27" t="str">
        <f t="shared" si="113"/>
        <v/>
      </c>
      <c r="O619" s="27" t="str">
        <f t="shared" si="114"/>
        <v/>
      </c>
      <c r="P619" s="27" t="str">
        <f t="shared" si="117"/>
        <v/>
      </c>
      <c r="Q619" s="27" t="str">
        <f t="shared" si="115"/>
        <v/>
      </c>
      <c r="R619" s="27" t="str">
        <f t="shared" si="119"/>
        <v/>
      </c>
      <c r="T619" s="23" t="str">
        <f t="shared" si="120"/>
        <v/>
      </c>
    </row>
    <row r="620" spans="7:20" x14ac:dyDescent="0.25">
      <c r="G620" s="29" t="str">
        <f t="shared" si="118"/>
        <v/>
      </c>
      <c r="I620" s="24" t="str">
        <f t="shared" si="116"/>
        <v/>
      </c>
      <c r="M620" s="27" t="str">
        <f t="shared" si="113"/>
        <v/>
      </c>
      <c r="O620" s="27" t="str">
        <f t="shared" si="114"/>
        <v/>
      </c>
      <c r="P620" s="27" t="str">
        <f t="shared" si="117"/>
        <v/>
      </c>
      <c r="Q620" s="27" t="str">
        <f t="shared" si="115"/>
        <v/>
      </c>
      <c r="R620" s="27" t="str">
        <f t="shared" si="119"/>
        <v/>
      </c>
      <c r="T620" s="23" t="str">
        <f t="shared" si="120"/>
        <v/>
      </c>
    </row>
    <row r="621" spans="7:20" x14ac:dyDescent="0.25">
      <c r="G621" s="29" t="str">
        <f t="shared" si="118"/>
        <v/>
      </c>
      <c r="I621" s="24" t="str">
        <f t="shared" si="116"/>
        <v/>
      </c>
      <c r="M621" s="27" t="str">
        <f t="shared" si="113"/>
        <v/>
      </c>
      <c r="O621" s="27" t="str">
        <f t="shared" si="114"/>
        <v/>
      </c>
      <c r="P621" s="27" t="str">
        <f t="shared" si="117"/>
        <v/>
      </c>
      <c r="Q621" s="27" t="str">
        <f t="shared" si="115"/>
        <v/>
      </c>
      <c r="R621" s="27" t="str">
        <f t="shared" si="119"/>
        <v/>
      </c>
      <c r="T621" s="23" t="str">
        <f t="shared" si="120"/>
        <v/>
      </c>
    </row>
    <row r="622" spans="7:20" x14ac:dyDescent="0.25">
      <c r="G622" s="29" t="str">
        <f t="shared" si="118"/>
        <v/>
      </c>
      <c r="I622" s="24" t="str">
        <f t="shared" si="116"/>
        <v/>
      </c>
      <c r="M622" s="27" t="str">
        <f t="shared" si="113"/>
        <v/>
      </c>
      <c r="O622" s="27" t="str">
        <f t="shared" si="114"/>
        <v/>
      </c>
      <c r="P622" s="27" t="str">
        <f t="shared" si="117"/>
        <v/>
      </c>
      <c r="Q622" s="27" t="str">
        <f t="shared" si="115"/>
        <v/>
      </c>
      <c r="R622" s="27" t="str">
        <f t="shared" si="119"/>
        <v/>
      </c>
      <c r="T622" s="23" t="str">
        <f t="shared" si="120"/>
        <v/>
      </c>
    </row>
    <row r="623" spans="7:20" x14ac:dyDescent="0.25">
      <c r="G623" s="29" t="str">
        <f t="shared" si="118"/>
        <v/>
      </c>
      <c r="I623" s="24" t="str">
        <f t="shared" si="116"/>
        <v/>
      </c>
      <c r="M623" s="27" t="str">
        <f t="shared" si="113"/>
        <v/>
      </c>
      <c r="O623" s="27" t="str">
        <f t="shared" si="114"/>
        <v/>
      </c>
      <c r="P623" s="27" t="str">
        <f t="shared" si="117"/>
        <v/>
      </c>
      <c r="Q623" s="27" t="str">
        <f t="shared" si="115"/>
        <v/>
      </c>
      <c r="R623" s="27" t="str">
        <f t="shared" si="119"/>
        <v/>
      </c>
      <c r="T623" s="23" t="str">
        <f t="shared" si="120"/>
        <v/>
      </c>
    </row>
    <row r="624" spans="7:20" x14ac:dyDescent="0.25">
      <c r="G624" s="29" t="str">
        <f t="shared" si="118"/>
        <v/>
      </c>
      <c r="I624" s="24" t="str">
        <f t="shared" si="116"/>
        <v/>
      </c>
      <c r="M624" s="27" t="str">
        <f t="shared" si="113"/>
        <v/>
      </c>
      <c r="O624" s="27" t="str">
        <f t="shared" si="114"/>
        <v/>
      </c>
      <c r="P624" s="27" t="str">
        <f t="shared" si="117"/>
        <v/>
      </c>
      <c r="Q624" s="27" t="str">
        <f t="shared" si="115"/>
        <v/>
      </c>
      <c r="R624" s="27" t="str">
        <f t="shared" si="119"/>
        <v/>
      </c>
      <c r="T624" s="23" t="str">
        <f t="shared" si="120"/>
        <v/>
      </c>
    </row>
    <row r="625" spans="7:20" x14ac:dyDescent="0.25">
      <c r="G625" s="29" t="str">
        <f t="shared" si="118"/>
        <v/>
      </c>
      <c r="I625" s="24" t="str">
        <f t="shared" si="116"/>
        <v/>
      </c>
      <c r="M625" s="27" t="str">
        <f t="shared" si="113"/>
        <v/>
      </c>
      <c r="O625" s="27" t="str">
        <f t="shared" si="114"/>
        <v/>
      </c>
      <c r="P625" s="27" t="str">
        <f t="shared" si="117"/>
        <v/>
      </c>
      <c r="Q625" s="27" t="str">
        <f t="shared" si="115"/>
        <v/>
      </c>
      <c r="R625" s="27" t="str">
        <f t="shared" si="119"/>
        <v/>
      </c>
      <c r="T625" s="23" t="str">
        <f t="shared" si="120"/>
        <v/>
      </c>
    </row>
    <row r="626" spans="7:20" x14ac:dyDescent="0.25">
      <c r="G626" s="29" t="str">
        <f t="shared" si="118"/>
        <v/>
      </c>
      <c r="I626" s="24" t="str">
        <f t="shared" si="116"/>
        <v/>
      </c>
      <c r="M626" s="27" t="str">
        <f t="shared" si="113"/>
        <v/>
      </c>
      <c r="O626" s="27" t="str">
        <f t="shared" si="114"/>
        <v/>
      </c>
      <c r="P626" s="27" t="str">
        <f t="shared" si="117"/>
        <v/>
      </c>
      <c r="Q626" s="27" t="str">
        <f t="shared" si="115"/>
        <v/>
      </c>
      <c r="R626" s="27" t="str">
        <f t="shared" si="119"/>
        <v/>
      </c>
      <c r="T626" s="23" t="str">
        <f t="shared" si="120"/>
        <v/>
      </c>
    </row>
    <row r="627" spans="7:20" x14ac:dyDescent="0.25">
      <c r="G627" s="29" t="str">
        <f t="shared" si="118"/>
        <v/>
      </c>
      <c r="I627" s="24" t="str">
        <f t="shared" si="116"/>
        <v/>
      </c>
      <c r="M627" s="27" t="str">
        <f t="shared" si="113"/>
        <v/>
      </c>
      <c r="O627" s="27" t="str">
        <f t="shared" si="114"/>
        <v/>
      </c>
      <c r="P627" s="27" t="str">
        <f t="shared" si="117"/>
        <v/>
      </c>
      <c r="Q627" s="27" t="str">
        <f t="shared" si="115"/>
        <v/>
      </c>
      <c r="R627" s="27" t="str">
        <f t="shared" si="119"/>
        <v/>
      </c>
      <c r="T627" s="23" t="str">
        <f t="shared" si="120"/>
        <v/>
      </c>
    </row>
    <row r="628" spans="7:20" x14ac:dyDescent="0.25">
      <c r="G628" s="29" t="str">
        <f t="shared" si="118"/>
        <v/>
      </c>
      <c r="I628" s="24" t="str">
        <f t="shared" si="116"/>
        <v/>
      </c>
      <c r="M628" s="27" t="str">
        <f t="shared" si="113"/>
        <v/>
      </c>
      <c r="O628" s="27" t="str">
        <f t="shared" si="114"/>
        <v/>
      </c>
      <c r="P628" s="27" t="str">
        <f t="shared" si="117"/>
        <v/>
      </c>
      <c r="Q628" s="27" t="str">
        <f t="shared" si="115"/>
        <v/>
      </c>
      <c r="R628" s="27" t="str">
        <f t="shared" si="119"/>
        <v/>
      </c>
      <c r="T628" s="23" t="str">
        <f t="shared" si="120"/>
        <v/>
      </c>
    </row>
    <row r="629" spans="7:20" x14ac:dyDescent="0.25">
      <c r="G629" s="29" t="str">
        <f t="shared" si="118"/>
        <v/>
      </c>
      <c r="I629" s="24" t="str">
        <f t="shared" si="116"/>
        <v/>
      </c>
      <c r="M629" s="27" t="str">
        <f t="shared" si="113"/>
        <v/>
      </c>
      <c r="O629" s="27" t="str">
        <f t="shared" si="114"/>
        <v/>
      </c>
      <c r="P629" s="27" t="str">
        <f t="shared" si="117"/>
        <v/>
      </c>
      <c r="Q629" s="27" t="str">
        <f t="shared" si="115"/>
        <v/>
      </c>
      <c r="R629" s="27" t="str">
        <f t="shared" si="119"/>
        <v/>
      </c>
      <c r="T629" s="23" t="str">
        <f t="shared" si="120"/>
        <v/>
      </c>
    </row>
    <row r="630" spans="7:20" x14ac:dyDescent="0.25">
      <c r="G630" s="29" t="str">
        <f t="shared" si="118"/>
        <v/>
      </c>
      <c r="I630" s="24" t="str">
        <f t="shared" si="116"/>
        <v/>
      </c>
      <c r="M630" s="27" t="str">
        <f t="shared" si="113"/>
        <v/>
      </c>
      <c r="O630" s="27" t="str">
        <f t="shared" si="114"/>
        <v/>
      </c>
      <c r="P630" s="27" t="str">
        <f t="shared" si="117"/>
        <v/>
      </c>
      <c r="Q630" s="27" t="str">
        <f t="shared" si="115"/>
        <v/>
      </c>
      <c r="R630" s="27" t="str">
        <f t="shared" si="119"/>
        <v/>
      </c>
      <c r="T630" s="23" t="str">
        <f t="shared" si="120"/>
        <v/>
      </c>
    </row>
    <row r="631" spans="7:20" x14ac:dyDescent="0.25">
      <c r="G631" s="29" t="str">
        <f t="shared" si="118"/>
        <v/>
      </c>
      <c r="I631" s="24" t="str">
        <f t="shared" si="116"/>
        <v/>
      </c>
      <c r="M631" s="27" t="str">
        <f t="shared" si="113"/>
        <v/>
      </c>
      <c r="O631" s="27" t="str">
        <f t="shared" si="114"/>
        <v/>
      </c>
      <c r="P631" s="27" t="str">
        <f t="shared" si="117"/>
        <v/>
      </c>
      <c r="Q631" s="27" t="str">
        <f t="shared" si="115"/>
        <v/>
      </c>
      <c r="R631" s="27" t="str">
        <f t="shared" si="119"/>
        <v/>
      </c>
      <c r="T631" s="23" t="str">
        <f t="shared" si="120"/>
        <v/>
      </c>
    </row>
    <row r="632" spans="7:20" x14ac:dyDescent="0.25">
      <c r="G632" s="29" t="str">
        <f t="shared" si="118"/>
        <v/>
      </c>
      <c r="I632" s="24" t="str">
        <f t="shared" si="116"/>
        <v/>
      </c>
      <c r="M632" s="27" t="str">
        <f t="shared" si="113"/>
        <v/>
      </c>
      <c r="O632" s="27" t="str">
        <f t="shared" si="114"/>
        <v/>
      </c>
      <c r="P632" s="27" t="str">
        <f t="shared" si="117"/>
        <v/>
      </c>
      <c r="Q632" s="27" t="str">
        <f t="shared" si="115"/>
        <v/>
      </c>
      <c r="R632" s="27" t="str">
        <f t="shared" si="119"/>
        <v/>
      </c>
      <c r="T632" s="23" t="str">
        <f t="shared" si="120"/>
        <v/>
      </c>
    </row>
    <row r="633" spans="7:20" x14ac:dyDescent="0.25">
      <c r="G633" s="29" t="str">
        <f t="shared" si="118"/>
        <v/>
      </c>
      <c r="I633" s="24" t="str">
        <f t="shared" si="116"/>
        <v/>
      </c>
      <c r="M633" s="27" t="str">
        <f t="shared" si="113"/>
        <v/>
      </c>
      <c r="O633" s="27" t="str">
        <f t="shared" si="114"/>
        <v/>
      </c>
      <c r="P633" s="27" t="str">
        <f t="shared" si="117"/>
        <v/>
      </c>
      <c r="Q633" s="27" t="str">
        <f t="shared" si="115"/>
        <v/>
      </c>
      <c r="R633" s="27" t="str">
        <f t="shared" si="119"/>
        <v/>
      </c>
      <c r="T633" s="23" t="str">
        <f t="shared" si="120"/>
        <v/>
      </c>
    </row>
    <row r="634" spans="7:20" x14ac:dyDescent="0.25">
      <c r="G634" s="29" t="str">
        <f t="shared" ref="G634:G644" si="121">IF(F634="","",VLOOKUP(F634,$Y$4:$Z$15,2,TRUE))</f>
        <v/>
      </c>
      <c r="I634" s="24" t="str">
        <f t="shared" si="116"/>
        <v/>
      </c>
      <c r="M634" s="27" t="str">
        <f t="shared" ref="M634:M697" si="122">IF(L634="","",VLOOKUP(L634,$Y$4:$Z$15,2,TRUE))</f>
        <v/>
      </c>
      <c r="O634" s="27" t="str">
        <f t="shared" ref="O634:O697" si="123">IF(N634="","",VLOOKUP(N634,$Y$4:$Z$15,2,TRUE))</f>
        <v/>
      </c>
      <c r="P634" s="27" t="str">
        <f t="shared" si="117"/>
        <v/>
      </c>
      <c r="Q634" s="27" t="str">
        <f t="shared" si="115"/>
        <v/>
      </c>
      <c r="R634" s="27" t="str">
        <f t="shared" si="119"/>
        <v/>
      </c>
      <c r="T634" s="23" t="str">
        <f t="shared" si="120"/>
        <v/>
      </c>
    </row>
    <row r="635" spans="7:20" x14ac:dyDescent="0.25">
      <c r="G635" s="29" t="str">
        <f t="shared" si="121"/>
        <v/>
      </c>
      <c r="I635" s="24" t="str">
        <f t="shared" si="116"/>
        <v/>
      </c>
      <c r="M635" s="27" t="str">
        <f t="shared" si="122"/>
        <v/>
      </c>
      <c r="O635" s="27" t="str">
        <f t="shared" si="123"/>
        <v/>
      </c>
      <c r="P635" s="27" t="str">
        <f t="shared" si="117"/>
        <v/>
      </c>
      <c r="Q635" s="27" t="str">
        <f t="shared" si="115"/>
        <v/>
      </c>
      <c r="R635" s="27" t="str">
        <f t="shared" si="119"/>
        <v/>
      </c>
      <c r="T635" s="23" t="str">
        <f t="shared" si="120"/>
        <v/>
      </c>
    </row>
    <row r="636" spans="7:20" x14ac:dyDescent="0.25">
      <c r="G636" s="29" t="str">
        <f t="shared" si="121"/>
        <v/>
      </c>
      <c r="I636" s="24" t="str">
        <f t="shared" si="116"/>
        <v/>
      </c>
      <c r="M636" s="27" t="str">
        <f t="shared" si="122"/>
        <v/>
      </c>
      <c r="O636" s="27" t="str">
        <f t="shared" si="123"/>
        <v/>
      </c>
      <c r="P636" s="27" t="str">
        <f t="shared" si="117"/>
        <v/>
      </c>
      <c r="Q636" s="27" t="str">
        <f t="shared" si="115"/>
        <v/>
      </c>
      <c r="R636" s="27" t="str">
        <f t="shared" si="119"/>
        <v/>
      </c>
      <c r="T636" s="23" t="str">
        <f t="shared" si="120"/>
        <v/>
      </c>
    </row>
    <row r="637" spans="7:20" x14ac:dyDescent="0.25">
      <c r="G637" s="29" t="str">
        <f t="shared" si="121"/>
        <v/>
      </c>
      <c r="I637" s="24" t="str">
        <f t="shared" si="116"/>
        <v/>
      </c>
      <c r="M637" s="27" t="str">
        <f t="shared" si="122"/>
        <v/>
      </c>
      <c r="O637" s="27" t="str">
        <f t="shared" si="123"/>
        <v/>
      </c>
      <c r="P637" s="27" t="str">
        <f t="shared" si="117"/>
        <v/>
      </c>
      <c r="Q637" s="27" t="str">
        <f t="shared" si="115"/>
        <v/>
      </c>
      <c r="R637" s="27" t="str">
        <f t="shared" si="119"/>
        <v/>
      </c>
      <c r="T637" s="23" t="str">
        <f t="shared" si="120"/>
        <v/>
      </c>
    </row>
    <row r="638" spans="7:20" x14ac:dyDescent="0.25">
      <c r="G638" s="29" t="str">
        <f t="shared" si="121"/>
        <v/>
      </c>
      <c r="I638" s="24" t="str">
        <f t="shared" si="116"/>
        <v/>
      </c>
      <c r="M638" s="27" t="str">
        <f t="shared" si="122"/>
        <v/>
      </c>
      <c r="O638" s="27" t="str">
        <f t="shared" si="123"/>
        <v/>
      </c>
      <c r="P638" s="27" t="str">
        <f t="shared" si="117"/>
        <v/>
      </c>
      <c r="Q638" s="27" t="str">
        <f t="shared" si="115"/>
        <v/>
      </c>
      <c r="R638" s="27" t="str">
        <f t="shared" si="119"/>
        <v/>
      </c>
      <c r="T638" s="23" t="str">
        <f t="shared" si="120"/>
        <v/>
      </c>
    </row>
    <row r="639" spans="7:20" x14ac:dyDescent="0.25">
      <c r="G639" s="29" t="str">
        <f t="shared" si="121"/>
        <v/>
      </c>
      <c r="I639" s="24" t="str">
        <f t="shared" si="116"/>
        <v/>
      </c>
      <c r="M639" s="27" t="str">
        <f t="shared" si="122"/>
        <v/>
      </c>
      <c r="O639" s="27" t="str">
        <f t="shared" si="123"/>
        <v/>
      </c>
      <c r="P639" s="27" t="str">
        <f t="shared" si="117"/>
        <v/>
      </c>
      <c r="Q639" s="27" t="str">
        <f t="shared" si="115"/>
        <v/>
      </c>
      <c r="R639" s="27" t="str">
        <f t="shared" si="119"/>
        <v/>
      </c>
      <c r="T639" s="23" t="str">
        <f t="shared" si="120"/>
        <v/>
      </c>
    </row>
    <row r="640" spans="7:20" x14ac:dyDescent="0.25">
      <c r="G640" s="29" t="str">
        <f t="shared" si="121"/>
        <v/>
      </c>
      <c r="I640" s="24" t="str">
        <f t="shared" si="116"/>
        <v/>
      </c>
      <c r="M640" s="27" t="str">
        <f t="shared" si="122"/>
        <v/>
      </c>
      <c r="O640" s="27" t="str">
        <f t="shared" si="123"/>
        <v/>
      </c>
      <c r="P640" s="27" t="str">
        <f t="shared" si="117"/>
        <v/>
      </c>
      <c r="Q640" s="27" t="str">
        <f t="shared" si="115"/>
        <v/>
      </c>
      <c r="R640" s="27" t="str">
        <f t="shared" si="119"/>
        <v/>
      </c>
      <c r="T640" s="23" t="str">
        <f t="shared" si="120"/>
        <v/>
      </c>
    </row>
    <row r="641" spans="7:20" x14ac:dyDescent="0.25">
      <c r="G641" s="29" t="str">
        <f t="shared" si="121"/>
        <v/>
      </c>
      <c r="I641" s="24" t="str">
        <f t="shared" si="116"/>
        <v/>
      </c>
      <c r="M641" s="27" t="str">
        <f t="shared" si="122"/>
        <v/>
      </c>
      <c r="O641" s="27" t="str">
        <f t="shared" si="123"/>
        <v/>
      </c>
      <c r="P641" s="27" t="str">
        <f t="shared" si="117"/>
        <v/>
      </c>
      <c r="Q641" s="27" t="str">
        <f t="shared" si="115"/>
        <v/>
      </c>
      <c r="R641" s="27" t="str">
        <f t="shared" si="119"/>
        <v/>
      </c>
      <c r="T641" s="23" t="str">
        <f t="shared" si="120"/>
        <v/>
      </c>
    </row>
    <row r="642" spans="7:20" x14ac:dyDescent="0.25">
      <c r="G642" s="29" t="str">
        <f t="shared" si="121"/>
        <v/>
      </c>
      <c r="I642" s="24" t="str">
        <f t="shared" si="116"/>
        <v/>
      </c>
      <c r="M642" s="27" t="str">
        <f t="shared" si="122"/>
        <v/>
      </c>
      <c r="O642" s="27" t="str">
        <f t="shared" si="123"/>
        <v/>
      </c>
      <c r="P642" s="27" t="str">
        <f t="shared" si="117"/>
        <v/>
      </c>
      <c r="Q642" s="27" t="str">
        <f t="shared" si="115"/>
        <v/>
      </c>
      <c r="R642" s="27" t="str">
        <f t="shared" si="119"/>
        <v/>
      </c>
      <c r="T642" s="23" t="str">
        <f t="shared" si="120"/>
        <v/>
      </c>
    </row>
    <row r="643" spans="7:20" x14ac:dyDescent="0.25">
      <c r="G643" s="29" t="str">
        <f t="shared" si="121"/>
        <v/>
      </c>
      <c r="I643" s="24" t="str">
        <f t="shared" si="116"/>
        <v/>
      </c>
      <c r="M643" s="27" t="str">
        <f t="shared" si="122"/>
        <v/>
      </c>
      <c r="O643" s="27" t="str">
        <f t="shared" si="123"/>
        <v/>
      </c>
      <c r="P643" s="27" t="str">
        <f t="shared" si="117"/>
        <v/>
      </c>
      <c r="Q643" s="27" t="str">
        <f t="shared" ref="Q643:Q706" si="124">IF(P643="","",P643/500*12)</f>
        <v/>
      </c>
      <c r="R643" s="27" t="str">
        <f t="shared" si="119"/>
        <v/>
      </c>
      <c r="T643" s="23" t="str">
        <f t="shared" si="120"/>
        <v/>
      </c>
    </row>
    <row r="644" spans="7:20" x14ac:dyDescent="0.25">
      <c r="G644" s="29" t="str">
        <f t="shared" si="121"/>
        <v/>
      </c>
      <c r="I644" s="24" t="str">
        <f t="shared" si="116"/>
        <v/>
      </c>
      <c r="M644" s="27" t="str">
        <f t="shared" si="122"/>
        <v/>
      </c>
      <c r="O644" s="27" t="str">
        <f t="shared" si="123"/>
        <v/>
      </c>
      <c r="P644" s="27" t="str">
        <f t="shared" si="117"/>
        <v/>
      </c>
      <c r="Q644" s="27" t="str">
        <f t="shared" si="124"/>
        <v/>
      </c>
      <c r="R644" s="27" t="str">
        <f t="shared" si="119"/>
        <v/>
      </c>
      <c r="T644" s="23" t="str">
        <f t="shared" si="120"/>
        <v/>
      </c>
    </row>
    <row r="645" spans="7:20" x14ac:dyDescent="0.25">
      <c r="G645" s="29" t="str">
        <f t="shared" ref="G645:G708" si="125">VLOOKUP(F645,$Y$4:$Z$15,2,TRUE)</f>
        <v>E</v>
      </c>
      <c r="I645" s="24" t="str">
        <f t="shared" si="116"/>
        <v/>
      </c>
      <c r="M645" s="27" t="str">
        <f t="shared" si="122"/>
        <v/>
      </c>
      <c r="O645" s="27" t="str">
        <f t="shared" si="123"/>
        <v/>
      </c>
      <c r="P645" s="27" t="str">
        <f t="shared" si="117"/>
        <v/>
      </c>
      <c r="Q645" s="27" t="str">
        <f t="shared" si="124"/>
        <v/>
      </c>
      <c r="R645" s="27" t="str">
        <f t="shared" si="119"/>
        <v/>
      </c>
      <c r="T645" s="23" t="str">
        <f t="shared" si="120"/>
        <v/>
      </c>
    </row>
    <row r="646" spans="7:20" x14ac:dyDescent="0.25">
      <c r="G646" s="29" t="str">
        <f t="shared" si="125"/>
        <v>E</v>
      </c>
      <c r="I646" s="24" t="str">
        <f t="shared" si="116"/>
        <v/>
      </c>
      <c r="M646" s="27" t="str">
        <f t="shared" si="122"/>
        <v/>
      </c>
      <c r="O646" s="27" t="str">
        <f t="shared" si="123"/>
        <v/>
      </c>
      <c r="P646" s="27" t="str">
        <f t="shared" si="117"/>
        <v/>
      </c>
      <c r="Q646" s="27" t="str">
        <f t="shared" si="124"/>
        <v/>
      </c>
      <c r="R646" s="27" t="str">
        <f t="shared" si="119"/>
        <v/>
      </c>
      <c r="T646" s="23" t="str">
        <f t="shared" si="120"/>
        <v/>
      </c>
    </row>
    <row r="647" spans="7:20" x14ac:dyDescent="0.25">
      <c r="G647" s="29" t="str">
        <f t="shared" si="125"/>
        <v>E</v>
      </c>
      <c r="I647" s="24" t="str">
        <f t="shared" si="116"/>
        <v/>
      </c>
      <c r="M647" s="27" t="str">
        <f t="shared" si="122"/>
        <v/>
      </c>
      <c r="O647" s="27" t="str">
        <f t="shared" si="123"/>
        <v/>
      </c>
      <c r="P647" s="27" t="str">
        <f t="shared" si="117"/>
        <v/>
      </c>
      <c r="Q647" s="27" t="str">
        <f t="shared" si="124"/>
        <v/>
      </c>
      <c r="R647" s="27" t="str">
        <f t="shared" si="119"/>
        <v/>
      </c>
      <c r="T647" s="23" t="str">
        <f t="shared" si="120"/>
        <v/>
      </c>
    </row>
    <row r="648" spans="7:20" x14ac:dyDescent="0.25">
      <c r="G648" s="29" t="str">
        <f t="shared" si="125"/>
        <v>E</v>
      </c>
      <c r="I648" s="24" t="str">
        <f t="shared" si="116"/>
        <v/>
      </c>
      <c r="M648" s="27" t="str">
        <f t="shared" si="122"/>
        <v/>
      </c>
      <c r="O648" s="27" t="str">
        <f t="shared" si="123"/>
        <v/>
      </c>
      <c r="P648" s="27" t="str">
        <f t="shared" si="117"/>
        <v/>
      </c>
      <c r="Q648" s="27" t="str">
        <f t="shared" si="124"/>
        <v/>
      </c>
      <c r="R648" s="27" t="str">
        <f t="shared" si="119"/>
        <v/>
      </c>
      <c r="T648" s="23" t="str">
        <f t="shared" si="120"/>
        <v/>
      </c>
    </row>
    <row r="649" spans="7:20" x14ac:dyDescent="0.25">
      <c r="G649" s="29" t="str">
        <f t="shared" si="125"/>
        <v>E</v>
      </c>
      <c r="I649" s="24" t="str">
        <f t="shared" si="116"/>
        <v/>
      </c>
      <c r="M649" s="27" t="str">
        <f t="shared" si="122"/>
        <v/>
      </c>
      <c r="O649" s="27" t="str">
        <f t="shared" si="123"/>
        <v/>
      </c>
      <c r="P649" s="27" t="str">
        <f t="shared" si="117"/>
        <v/>
      </c>
      <c r="Q649" s="27" t="str">
        <f t="shared" si="124"/>
        <v/>
      </c>
      <c r="R649" s="27" t="str">
        <f t="shared" si="119"/>
        <v/>
      </c>
      <c r="T649" s="23" t="str">
        <f t="shared" si="120"/>
        <v/>
      </c>
    </row>
    <row r="650" spans="7:20" x14ac:dyDescent="0.25">
      <c r="G650" s="29" t="str">
        <f t="shared" si="125"/>
        <v>E</v>
      </c>
      <c r="I650" s="24" t="str">
        <f t="shared" si="116"/>
        <v/>
      </c>
      <c r="M650" s="27" t="str">
        <f t="shared" si="122"/>
        <v/>
      </c>
      <c r="O650" s="27" t="str">
        <f t="shared" si="123"/>
        <v/>
      </c>
      <c r="P650" s="27" t="str">
        <f t="shared" si="117"/>
        <v/>
      </c>
      <c r="Q650" s="27" t="str">
        <f t="shared" si="124"/>
        <v/>
      </c>
      <c r="R650" s="27" t="str">
        <f t="shared" si="119"/>
        <v/>
      </c>
      <c r="T650" s="23" t="str">
        <f t="shared" si="120"/>
        <v/>
      </c>
    </row>
    <row r="651" spans="7:20" x14ac:dyDescent="0.25">
      <c r="G651" s="29" t="str">
        <f t="shared" si="125"/>
        <v>E</v>
      </c>
      <c r="I651" s="24" t="str">
        <f t="shared" si="116"/>
        <v/>
      </c>
      <c r="M651" s="27" t="str">
        <f t="shared" si="122"/>
        <v/>
      </c>
      <c r="O651" s="27" t="str">
        <f t="shared" si="123"/>
        <v/>
      </c>
      <c r="P651" s="27" t="str">
        <f t="shared" si="117"/>
        <v/>
      </c>
      <c r="Q651" s="27" t="str">
        <f t="shared" si="124"/>
        <v/>
      </c>
      <c r="R651" s="27" t="str">
        <f t="shared" si="119"/>
        <v/>
      </c>
      <c r="T651" s="23" t="str">
        <f t="shared" si="120"/>
        <v/>
      </c>
    </row>
    <row r="652" spans="7:20" x14ac:dyDescent="0.25">
      <c r="G652" s="29" t="str">
        <f t="shared" si="125"/>
        <v>E</v>
      </c>
      <c r="I652" s="24" t="str">
        <f t="shared" si="116"/>
        <v/>
      </c>
      <c r="M652" s="27" t="str">
        <f t="shared" si="122"/>
        <v/>
      </c>
      <c r="O652" s="27" t="str">
        <f t="shared" si="123"/>
        <v/>
      </c>
      <c r="P652" s="27" t="str">
        <f t="shared" si="117"/>
        <v/>
      </c>
      <c r="Q652" s="27" t="str">
        <f t="shared" si="124"/>
        <v/>
      </c>
      <c r="R652" s="27" t="str">
        <f t="shared" si="119"/>
        <v/>
      </c>
      <c r="T652" s="23" t="str">
        <f t="shared" si="120"/>
        <v/>
      </c>
    </row>
    <row r="653" spans="7:20" x14ac:dyDescent="0.25">
      <c r="G653" s="29" t="str">
        <f t="shared" si="125"/>
        <v>E</v>
      </c>
      <c r="I653" s="24" t="str">
        <f t="shared" si="116"/>
        <v/>
      </c>
      <c r="M653" s="27" t="str">
        <f t="shared" si="122"/>
        <v/>
      </c>
      <c r="O653" s="27" t="str">
        <f t="shared" si="123"/>
        <v/>
      </c>
      <c r="P653" s="27" t="str">
        <f t="shared" si="117"/>
        <v/>
      </c>
      <c r="Q653" s="27" t="str">
        <f t="shared" si="124"/>
        <v/>
      </c>
      <c r="R653" s="27" t="str">
        <f t="shared" si="119"/>
        <v/>
      </c>
      <c r="T653" s="23" t="str">
        <f t="shared" si="120"/>
        <v/>
      </c>
    </row>
    <row r="654" spans="7:20" x14ac:dyDescent="0.25">
      <c r="G654" s="29" t="str">
        <f t="shared" si="125"/>
        <v>E</v>
      </c>
      <c r="I654" s="24" t="str">
        <f t="shared" si="116"/>
        <v/>
      </c>
      <c r="M654" s="27" t="str">
        <f t="shared" si="122"/>
        <v/>
      </c>
      <c r="O654" s="27" t="str">
        <f t="shared" si="123"/>
        <v/>
      </c>
      <c r="P654" s="27" t="str">
        <f t="shared" si="117"/>
        <v/>
      </c>
      <c r="Q654" s="27" t="str">
        <f t="shared" si="124"/>
        <v/>
      </c>
      <c r="R654" s="27" t="str">
        <f t="shared" si="119"/>
        <v/>
      </c>
    </row>
    <row r="655" spans="7:20" x14ac:dyDescent="0.25">
      <c r="G655" s="29" t="str">
        <f t="shared" si="125"/>
        <v>E</v>
      </c>
      <c r="I655" s="24" t="str">
        <f t="shared" si="116"/>
        <v/>
      </c>
      <c r="M655" s="27" t="str">
        <f t="shared" si="122"/>
        <v/>
      </c>
      <c r="O655" s="27" t="str">
        <f t="shared" si="123"/>
        <v/>
      </c>
      <c r="P655" s="27" t="str">
        <f t="shared" si="117"/>
        <v/>
      </c>
      <c r="Q655" s="27" t="str">
        <f t="shared" si="124"/>
        <v/>
      </c>
      <c r="R655" s="27" t="str">
        <f t="shared" si="119"/>
        <v/>
      </c>
    </row>
    <row r="656" spans="7:20" x14ac:dyDescent="0.25">
      <c r="G656" s="29" t="str">
        <f t="shared" si="125"/>
        <v>E</v>
      </c>
      <c r="I656" s="24" t="str">
        <f t="shared" si="116"/>
        <v/>
      </c>
      <c r="M656" s="27" t="str">
        <f t="shared" si="122"/>
        <v/>
      </c>
      <c r="O656" s="27" t="str">
        <f t="shared" si="123"/>
        <v/>
      </c>
      <c r="P656" s="27" t="str">
        <f t="shared" si="117"/>
        <v/>
      </c>
      <c r="Q656" s="27" t="str">
        <f t="shared" si="124"/>
        <v/>
      </c>
      <c r="R656" s="27" t="str">
        <f t="shared" si="119"/>
        <v/>
      </c>
    </row>
    <row r="657" spans="7:18" x14ac:dyDescent="0.25">
      <c r="G657" s="29" t="str">
        <f t="shared" si="125"/>
        <v>E</v>
      </c>
      <c r="I657" s="24" t="str">
        <f t="shared" si="116"/>
        <v/>
      </c>
      <c r="M657" s="27" t="str">
        <f t="shared" si="122"/>
        <v/>
      </c>
      <c r="O657" s="27" t="str">
        <f t="shared" si="123"/>
        <v/>
      </c>
      <c r="P657" s="27" t="str">
        <f t="shared" si="117"/>
        <v/>
      </c>
      <c r="Q657" s="27" t="str">
        <f t="shared" si="124"/>
        <v/>
      </c>
      <c r="R657" s="27" t="str">
        <f t="shared" si="119"/>
        <v/>
      </c>
    </row>
    <row r="658" spans="7:18" x14ac:dyDescent="0.25">
      <c r="G658" s="29" t="str">
        <f t="shared" si="125"/>
        <v>E</v>
      </c>
      <c r="I658" s="24" t="str">
        <f t="shared" si="116"/>
        <v/>
      </c>
      <c r="M658" s="27" t="str">
        <f t="shared" si="122"/>
        <v/>
      </c>
      <c r="O658" s="27" t="str">
        <f t="shared" si="123"/>
        <v/>
      </c>
      <c r="P658" s="27" t="str">
        <f t="shared" si="117"/>
        <v/>
      </c>
      <c r="Q658" s="27" t="str">
        <f t="shared" si="124"/>
        <v/>
      </c>
      <c r="R658" s="27" t="str">
        <f t="shared" si="119"/>
        <v/>
      </c>
    </row>
    <row r="659" spans="7:18" x14ac:dyDescent="0.25">
      <c r="G659" s="29" t="str">
        <f t="shared" si="125"/>
        <v>E</v>
      </c>
      <c r="I659" s="24" t="str">
        <f t="shared" si="116"/>
        <v/>
      </c>
      <c r="M659" s="27" t="str">
        <f t="shared" si="122"/>
        <v/>
      </c>
      <c r="O659" s="27" t="str">
        <f t="shared" si="123"/>
        <v/>
      </c>
      <c r="P659" s="27" t="str">
        <f t="shared" si="117"/>
        <v/>
      </c>
      <c r="Q659" s="27" t="str">
        <f t="shared" si="124"/>
        <v/>
      </c>
      <c r="R659" s="27" t="str">
        <f t="shared" si="119"/>
        <v/>
      </c>
    </row>
    <row r="660" spans="7:18" x14ac:dyDescent="0.25">
      <c r="G660" s="29" t="str">
        <f t="shared" si="125"/>
        <v>E</v>
      </c>
      <c r="I660" s="24" t="str">
        <f t="shared" si="116"/>
        <v/>
      </c>
      <c r="M660" s="27" t="str">
        <f t="shared" si="122"/>
        <v/>
      </c>
      <c r="O660" s="27" t="str">
        <f t="shared" si="123"/>
        <v/>
      </c>
      <c r="P660" s="27" t="str">
        <f t="shared" si="117"/>
        <v/>
      </c>
      <c r="Q660" s="27" t="str">
        <f t="shared" si="124"/>
        <v/>
      </c>
      <c r="R660" s="27" t="str">
        <f t="shared" si="119"/>
        <v/>
      </c>
    </row>
    <row r="661" spans="7:18" x14ac:dyDescent="0.25">
      <c r="G661" s="29" t="str">
        <f t="shared" si="125"/>
        <v>E</v>
      </c>
      <c r="I661" s="24" t="str">
        <f t="shared" si="116"/>
        <v/>
      </c>
      <c r="M661" s="27" t="str">
        <f t="shared" si="122"/>
        <v/>
      </c>
      <c r="O661" s="27" t="str">
        <f t="shared" si="123"/>
        <v/>
      </c>
      <c r="P661" s="27" t="str">
        <f t="shared" si="117"/>
        <v/>
      </c>
      <c r="Q661" s="27" t="str">
        <f t="shared" si="124"/>
        <v/>
      </c>
      <c r="R661" s="27" t="str">
        <f t="shared" si="119"/>
        <v/>
      </c>
    </row>
    <row r="662" spans="7:18" x14ac:dyDescent="0.25">
      <c r="G662" s="29" t="str">
        <f t="shared" si="125"/>
        <v>E</v>
      </c>
      <c r="I662" s="24" t="str">
        <f t="shared" si="116"/>
        <v/>
      </c>
      <c r="M662" s="27" t="str">
        <f t="shared" si="122"/>
        <v/>
      </c>
      <c r="O662" s="27" t="str">
        <f t="shared" si="123"/>
        <v/>
      </c>
      <c r="P662" s="27" t="str">
        <f t="shared" si="117"/>
        <v/>
      </c>
      <c r="Q662" s="27" t="str">
        <f t="shared" si="124"/>
        <v/>
      </c>
      <c r="R662" s="27" t="str">
        <f t="shared" si="119"/>
        <v/>
      </c>
    </row>
    <row r="663" spans="7:18" x14ac:dyDescent="0.25">
      <c r="G663" s="29" t="str">
        <f t="shared" si="125"/>
        <v>E</v>
      </c>
      <c r="I663" s="24" t="str">
        <f t="shared" si="116"/>
        <v/>
      </c>
      <c r="M663" s="27" t="str">
        <f t="shared" si="122"/>
        <v/>
      </c>
      <c r="O663" s="27" t="str">
        <f t="shared" si="123"/>
        <v/>
      </c>
      <c r="P663" s="27" t="str">
        <f t="shared" si="117"/>
        <v/>
      </c>
      <c r="Q663" s="27" t="str">
        <f t="shared" si="124"/>
        <v/>
      </c>
      <c r="R663" s="27" t="str">
        <f t="shared" si="119"/>
        <v/>
      </c>
    </row>
    <row r="664" spans="7:18" x14ac:dyDescent="0.25">
      <c r="G664" s="29" t="str">
        <f t="shared" si="125"/>
        <v>E</v>
      </c>
      <c r="I664" s="24" t="str">
        <f t="shared" ref="I664:I727" si="126">IF(H664="","",VLOOKUP(H664,$Y$4:$Z$15,2,TRUE))</f>
        <v/>
      </c>
      <c r="M664" s="27" t="str">
        <f t="shared" si="122"/>
        <v/>
      </c>
      <c r="O664" s="27" t="str">
        <f t="shared" si="123"/>
        <v/>
      </c>
      <c r="P664" s="27" t="str">
        <f t="shared" si="117"/>
        <v/>
      </c>
      <c r="Q664" s="27" t="str">
        <f t="shared" si="124"/>
        <v/>
      </c>
      <c r="R664" s="27" t="str">
        <f t="shared" si="119"/>
        <v/>
      </c>
    </row>
    <row r="665" spans="7:18" x14ac:dyDescent="0.25">
      <c r="G665" s="29" t="str">
        <f t="shared" si="125"/>
        <v>E</v>
      </c>
      <c r="I665" s="24" t="str">
        <f t="shared" si="126"/>
        <v/>
      </c>
      <c r="M665" s="27" t="str">
        <f t="shared" si="122"/>
        <v/>
      </c>
      <c r="O665" s="27" t="str">
        <f t="shared" si="123"/>
        <v/>
      </c>
      <c r="P665" s="27" t="str">
        <f t="shared" ref="P665:P728" si="127">IF(COUNT(F665:O665)=0,"",SUM(F665:O665))</f>
        <v/>
      </c>
      <c r="Q665" s="27" t="str">
        <f t="shared" si="124"/>
        <v/>
      </c>
      <c r="R665" s="27" t="str">
        <f t="shared" si="119"/>
        <v/>
      </c>
    </row>
    <row r="666" spans="7:18" x14ac:dyDescent="0.25">
      <c r="G666" s="29" t="str">
        <f t="shared" si="125"/>
        <v>E</v>
      </c>
      <c r="I666" s="24" t="str">
        <f t="shared" si="126"/>
        <v/>
      </c>
      <c r="M666" s="27" t="str">
        <f t="shared" si="122"/>
        <v/>
      </c>
      <c r="O666" s="27" t="str">
        <f t="shared" si="123"/>
        <v/>
      </c>
      <c r="P666" s="27" t="str">
        <f t="shared" si="127"/>
        <v/>
      </c>
      <c r="Q666" s="27" t="str">
        <f t="shared" si="124"/>
        <v/>
      </c>
      <c r="R666" s="27" t="str">
        <f t="shared" si="119"/>
        <v/>
      </c>
    </row>
    <row r="667" spans="7:18" x14ac:dyDescent="0.25">
      <c r="G667" s="29" t="str">
        <f t="shared" si="125"/>
        <v>E</v>
      </c>
      <c r="I667" s="24" t="str">
        <f t="shared" si="126"/>
        <v/>
      </c>
      <c r="M667" s="27" t="str">
        <f t="shared" si="122"/>
        <v/>
      </c>
      <c r="O667" s="27" t="str">
        <f t="shared" si="123"/>
        <v/>
      </c>
      <c r="P667" s="27" t="str">
        <f t="shared" si="127"/>
        <v/>
      </c>
      <c r="Q667" s="27" t="str">
        <f t="shared" si="124"/>
        <v/>
      </c>
      <c r="R667" s="27" t="str">
        <f t="shared" si="119"/>
        <v/>
      </c>
    </row>
    <row r="668" spans="7:18" x14ac:dyDescent="0.25">
      <c r="G668" s="29" t="str">
        <f t="shared" si="125"/>
        <v>E</v>
      </c>
      <c r="I668" s="24" t="str">
        <f t="shared" si="126"/>
        <v/>
      </c>
      <c r="M668" s="27" t="str">
        <f t="shared" si="122"/>
        <v/>
      </c>
      <c r="O668" s="27" t="str">
        <f t="shared" si="123"/>
        <v/>
      </c>
      <c r="P668" s="27" t="str">
        <f t="shared" si="127"/>
        <v/>
      </c>
      <c r="Q668" s="27" t="str">
        <f t="shared" si="124"/>
        <v/>
      </c>
      <c r="R668" s="27" t="str">
        <f t="shared" si="119"/>
        <v/>
      </c>
    </row>
    <row r="669" spans="7:18" x14ac:dyDescent="0.25">
      <c r="G669" s="29" t="str">
        <f t="shared" si="125"/>
        <v>E</v>
      </c>
      <c r="I669" s="24" t="str">
        <f t="shared" si="126"/>
        <v/>
      </c>
      <c r="M669" s="27" t="str">
        <f t="shared" si="122"/>
        <v/>
      </c>
      <c r="O669" s="27" t="str">
        <f t="shared" si="123"/>
        <v/>
      </c>
      <c r="P669" s="27" t="str">
        <f t="shared" si="127"/>
        <v/>
      </c>
      <c r="Q669" s="27" t="str">
        <f t="shared" si="124"/>
        <v/>
      </c>
      <c r="R669" s="27" t="str">
        <f t="shared" si="119"/>
        <v/>
      </c>
    </row>
    <row r="670" spans="7:18" x14ac:dyDescent="0.25">
      <c r="G670" s="29" t="str">
        <f t="shared" si="125"/>
        <v>E</v>
      </c>
      <c r="I670" s="24" t="str">
        <f t="shared" si="126"/>
        <v/>
      </c>
      <c r="M670" s="27" t="str">
        <f t="shared" si="122"/>
        <v/>
      </c>
      <c r="O670" s="27" t="str">
        <f t="shared" si="123"/>
        <v/>
      </c>
      <c r="P670" s="27" t="str">
        <f t="shared" si="127"/>
        <v/>
      </c>
      <c r="Q670" s="27" t="str">
        <f t="shared" si="124"/>
        <v/>
      </c>
      <c r="R670" s="27" t="str">
        <f t="shared" si="119"/>
        <v/>
      </c>
    </row>
    <row r="671" spans="7:18" x14ac:dyDescent="0.25">
      <c r="G671" s="29" t="str">
        <f t="shared" si="125"/>
        <v>E</v>
      </c>
      <c r="I671" s="24" t="str">
        <f t="shared" si="126"/>
        <v/>
      </c>
      <c r="M671" s="27" t="str">
        <f t="shared" si="122"/>
        <v/>
      </c>
      <c r="O671" s="27" t="str">
        <f t="shared" si="123"/>
        <v/>
      </c>
      <c r="P671" s="27" t="str">
        <f t="shared" si="127"/>
        <v/>
      </c>
      <c r="Q671" s="27" t="str">
        <f t="shared" si="124"/>
        <v/>
      </c>
      <c r="R671" s="27" t="str">
        <f t="shared" ref="R671:R734" si="128">IF(Q671="","",VLOOKUP(Q671,$W$4:$X$15,2,TRUE))</f>
        <v/>
      </c>
    </row>
    <row r="672" spans="7:18" x14ac:dyDescent="0.25">
      <c r="G672" s="29" t="str">
        <f t="shared" si="125"/>
        <v>E</v>
      </c>
      <c r="I672" s="24" t="str">
        <f t="shared" si="126"/>
        <v/>
      </c>
      <c r="M672" s="27" t="str">
        <f t="shared" si="122"/>
        <v/>
      </c>
      <c r="O672" s="27" t="str">
        <f t="shared" si="123"/>
        <v/>
      </c>
      <c r="P672" s="27" t="str">
        <f t="shared" si="127"/>
        <v/>
      </c>
      <c r="Q672" s="27" t="str">
        <f t="shared" si="124"/>
        <v/>
      </c>
      <c r="R672" s="27" t="str">
        <f t="shared" si="128"/>
        <v/>
      </c>
    </row>
    <row r="673" spans="7:18" x14ac:dyDescent="0.25">
      <c r="G673" s="29" t="str">
        <f t="shared" si="125"/>
        <v>E</v>
      </c>
      <c r="I673" s="24" t="str">
        <f t="shared" si="126"/>
        <v/>
      </c>
      <c r="M673" s="27" t="str">
        <f t="shared" si="122"/>
        <v/>
      </c>
      <c r="O673" s="27" t="str">
        <f t="shared" si="123"/>
        <v/>
      </c>
      <c r="P673" s="27" t="str">
        <f t="shared" si="127"/>
        <v/>
      </c>
      <c r="Q673" s="27" t="str">
        <f t="shared" si="124"/>
        <v/>
      </c>
      <c r="R673" s="27" t="str">
        <f t="shared" si="128"/>
        <v/>
      </c>
    </row>
    <row r="674" spans="7:18" x14ac:dyDescent="0.25">
      <c r="G674" s="29" t="str">
        <f t="shared" si="125"/>
        <v>E</v>
      </c>
      <c r="I674" s="24" t="str">
        <f t="shared" si="126"/>
        <v/>
      </c>
      <c r="M674" s="27" t="str">
        <f t="shared" si="122"/>
        <v/>
      </c>
      <c r="O674" s="27" t="str">
        <f t="shared" si="123"/>
        <v/>
      </c>
      <c r="P674" s="27" t="str">
        <f t="shared" si="127"/>
        <v/>
      </c>
      <c r="Q674" s="27" t="str">
        <f t="shared" si="124"/>
        <v/>
      </c>
      <c r="R674" s="27" t="str">
        <f t="shared" si="128"/>
        <v/>
      </c>
    </row>
    <row r="675" spans="7:18" x14ac:dyDescent="0.25">
      <c r="G675" s="29" t="str">
        <f t="shared" si="125"/>
        <v>E</v>
      </c>
      <c r="I675" s="24" t="str">
        <f t="shared" si="126"/>
        <v/>
      </c>
      <c r="M675" s="27" t="str">
        <f t="shared" si="122"/>
        <v/>
      </c>
      <c r="O675" s="27" t="str">
        <f t="shared" si="123"/>
        <v/>
      </c>
      <c r="P675" s="27" t="str">
        <f t="shared" si="127"/>
        <v/>
      </c>
      <c r="Q675" s="27" t="str">
        <f t="shared" si="124"/>
        <v/>
      </c>
      <c r="R675" s="27" t="str">
        <f t="shared" si="128"/>
        <v/>
      </c>
    </row>
    <row r="676" spans="7:18" x14ac:dyDescent="0.25">
      <c r="G676" s="29" t="str">
        <f t="shared" si="125"/>
        <v>E</v>
      </c>
      <c r="I676" s="24" t="str">
        <f t="shared" si="126"/>
        <v/>
      </c>
      <c r="M676" s="27" t="str">
        <f t="shared" si="122"/>
        <v/>
      </c>
      <c r="O676" s="27" t="str">
        <f t="shared" si="123"/>
        <v/>
      </c>
      <c r="P676" s="27" t="str">
        <f t="shared" si="127"/>
        <v/>
      </c>
      <c r="Q676" s="27" t="str">
        <f t="shared" si="124"/>
        <v/>
      </c>
      <c r="R676" s="27" t="str">
        <f t="shared" si="128"/>
        <v/>
      </c>
    </row>
    <row r="677" spans="7:18" x14ac:dyDescent="0.25">
      <c r="G677" s="29" t="str">
        <f t="shared" si="125"/>
        <v>E</v>
      </c>
      <c r="I677" s="24" t="str">
        <f t="shared" si="126"/>
        <v/>
      </c>
      <c r="M677" s="27" t="str">
        <f t="shared" si="122"/>
        <v/>
      </c>
      <c r="O677" s="27" t="str">
        <f t="shared" si="123"/>
        <v/>
      </c>
      <c r="P677" s="27" t="str">
        <f t="shared" si="127"/>
        <v/>
      </c>
      <c r="Q677" s="27" t="str">
        <f t="shared" si="124"/>
        <v/>
      </c>
      <c r="R677" s="27" t="str">
        <f t="shared" si="128"/>
        <v/>
      </c>
    </row>
    <row r="678" spans="7:18" x14ac:dyDescent="0.25">
      <c r="G678" s="29" t="str">
        <f t="shared" si="125"/>
        <v>E</v>
      </c>
      <c r="I678" s="24" t="str">
        <f t="shared" si="126"/>
        <v/>
      </c>
      <c r="M678" s="27" t="str">
        <f t="shared" si="122"/>
        <v/>
      </c>
      <c r="O678" s="27" t="str">
        <f t="shared" si="123"/>
        <v/>
      </c>
      <c r="P678" s="27" t="str">
        <f t="shared" si="127"/>
        <v/>
      </c>
      <c r="Q678" s="27" t="str">
        <f t="shared" si="124"/>
        <v/>
      </c>
      <c r="R678" s="27" t="str">
        <f t="shared" si="128"/>
        <v/>
      </c>
    </row>
    <row r="679" spans="7:18" x14ac:dyDescent="0.25">
      <c r="G679" s="29" t="str">
        <f t="shared" si="125"/>
        <v>E</v>
      </c>
      <c r="I679" s="24" t="str">
        <f t="shared" si="126"/>
        <v/>
      </c>
      <c r="M679" s="27" t="str">
        <f t="shared" si="122"/>
        <v/>
      </c>
      <c r="O679" s="27" t="str">
        <f t="shared" si="123"/>
        <v/>
      </c>
      <c r="P679" s="27" t="str">
        <f t="shared" si="127"/>
        <v/>
      </c>
      <c r="Q679" s="27" t="str">
        <f t="shared" si="124"/>
        <v/>
      </c>
      <c r="R679" s="27" t="str">
        <f t="shared" si="128"/>
        <v/>
      </c>
    </row>
    <row r="680" spans="7:18" x14ac:dyDescent="0.25">
      <c r="G680" s="29" t="str">
        <f t="shared" si="125"/>
        <v>E</v>
      </c>
      <c r="I680" s="24" t="str">
        <f t="shared" si="126"/>
        <v/>
      </c>
      <c r="M680" s="27" t="str">
        <f t="shared" si="122"/>
        <v/>
      </c>
      <c r="O680" s="27" t="str">
        <f t="shared" si="123"/>
        <v/>
      </c>
      <c r="P680" s="27" t="str">
        <f t="shared" si="127"/>
        <v/>
      </c>
      <c r="Q680" s="27" t="str">
        <f t="shared" si="124"/>
        <v/>
      </c>
      <c r="R680" s="27" t="str">
        <f t="shared" si="128"/>
        <v/>
      </c>
    </row>
    <row r="681" spans="7:18" x14ac:dyDescent="0.25">
      <c r="G681" s="29" t="str">
        <f t="shared" si="125"/>
        <v>E</v>
      </c>
      <c r="I681" s="24" t="str">
        <f t="shared" si="126"/>
        <v/>
      </c>
      <c r="M681" s="27" t="str">
        <f t="shared" si="122"/>
        <v/>
      </c>
      <c r="O681" s="27" t="str">
        <f t="shared" si="123"/>
        <v/>
      </c>
      <c r="P681" s="27" t="str">
        <f t="shared" si="127"/>
        <v/>
      </c>
      <c r="Q681" s="27" t="str">
        <f t="shared" si="124"/>
        <v/>
      </c>
      <c r="R681" s="27" t="str">
        <f t="shared" si="128"/>
        <v/>
      </c>
    </row>
    <row r="682" spans="7:18" x14ac:dyDescent="0.25">
      <c r="G682" s="29" t="str">
        <f t="shared" si="125"/>
        <v>E</v>
      </c>
      <c r="I682" s="24" t="str">
        <f t="shared" si="126"/>
        <v/>
      </c>
      <c r="M682" s="27" t="str">
        <f t="shared" si="122"/>
        <v/>
      </c>
      <c r="O682" s="27" t="str">
        <f t="shared" si="123"/>
        <v/>
      </c>
      <c r="P682" s="27" t="str">
        <f t="shared" si="127"/>
        <v/>
      </c>
      <c r="Q682" s="27" t="str">
        <f t="shared" si="124"/>
        <v/>
      </c>
      <c r="R682" s="27" t="str">
        <f t="shared" si="128"/>
        <v/>
      </c>
    </row>
    <row r="683" spans="7:18" x14ac:dyDescent="0.25">
      <c r="G683" s="29" t="str">
        <f t="shared" si="125"/>
        <v>E</v>
      </c>
      <c r="I683" s="24" t="str">
        <f t="shared" si="126"/>
        <v/>
      </c>
      <c r="M683" s="27" t="str">
        <f t="shared" si="122"/>
        <v/>
      </c>
      <c r="O683" s="27" t="str">
        <f t="shared" si="123"/>
        <v/>
      </c>
      <c r="P683" s="27" t="str">
        <f t="shared" si="127"/>
        <v/>
      </c>
      <c r="Q683" s="27" t="str">
        <f t="shared" si="124"/>
        <v/>
      </c>
      <c r="R683" s="27" t="str">
        <f t="shared" si="128"/>
        <v/>
      </c>
    </row>
    <row r="684" spans="7:18" x14ac:dyDescent="0.25">
      <c r="G684" s="29" t="str">
        <f t="shared" si="125"/>
        <v>E</v>
      </c>
      <c r="I684" s="24" t="str">
        <f t="shared" si="126"/>
        <v/>
      </c>
      <c r="M684" s="27" t="str">
        <f t="shared" si="122"/>
        <v/>
      </c>
      <c r="O684" s="27" t="str">
        <f t="shared" si="123"/>
        <v/>
      </c>
      <c r="P684" s="27" t="str">
        <f t="shared" si="127"/>
        <v/>
      </c>
      <c r="Q684" s="27" t="str">
        <f t="shared" si="124"/>
        <v/>
      </c>
      <c r="R684" s="27" t="str">
        <f t="shared" si="128"/>
        <v/>
      </c>
    </row>
    <row r="685" spans="7:18" x14ac:dyDescent="0.25">
      <c r="G685" s="29" t="str">
        <f t="shared" si="125"/>
        <v>E</v>
      </c>
      <c r="I685" s="24" t="str">
        <f t="shared" si="126"/>
        <v/>
      </c>
      <c r="M685" s="27" t="str">
        <f t="shared" si="122"/>
        <v/>
      </c>
      <c r="O685" s="27" t="str">
        <f t="shared" si="123"/>
        <v/>
      </c>
      <c r="P685" s="27" t="str">
        <f t="shared" si="127"/>
        <v/>
      </c>
      <c r="Q685" s="27" t="str">
        <f t="shared" si="124"/>
        <v/>
      </c>
      <c r="R685" s="27" t="str">
        <f t="shared" si="128"/>
        <v/>
      </c>
    </row>
    <row r="686" spans="7:18" x14ac:dyDescent="0.25">
      <c r="G686" s="29" t="str">
        <f t="shared" si="125"/>
        <v>E</v>
      </c>
      <c r="I686" s="24" t="str">
        <f t="shared" si="126"/>
        <v/>
      </c>
      <c r="M686" s="27" t="str">
        <f t="shared" si="122"/>
        <v/>
      </c>
      <c r="O686" s="27" t="str">
        <f t="shared" si="123"/>
        <v/>
      </c>
      <c r="P686" s="27" t="str">
        <f t="shared" si="127"/>
        <v/>
      </c>
      <c r="Q686" s="27" t="str">
        <f t="shared" si="124"/>
        <v/>
      </c>
      <c r="R686" s="27" t="str">
        <f t="shared" si="128"/>
        <v/>
      </c>
    </row>
    <row r="687" spans="7:18" x14ac:dyDescent="0.25">
      <c r="G687" s="29" t="str">
        <f t="shared" si="125"/>
        <v>E</v>
      </c>
      <c r="I687" s="24" t="str">
        <f t="shared" si="126"/>
        <v/>
      </c>
      <c r="M687" s="27" t="str">
        <f t="shared" si="122"/>
        <v/>
      </c>
      <c r="O687" s="27" t="str">
        <f t="shared" si="123"/>
        <v/>
      </c>
      <c r="P687" s="27" t="str">
        <f t="shared" si="127"/>
        <v/>
      </c>
      <c r="Q687" s="27" t="str">
        <f t="shared" si="124"/>
        <v/>
      </c>
      <c r="R687" s="27" t="str">
        <f t="shared" si="128"/>
        <v/>
      </c>
    </row>
    <row r="688" spans="7:18" x14ac:dyDescent="0.25">
      <c r="G688" s="29" t="str">
        <f t="shared" si="125"/>
        <v>E</v>
      </c>
      <c r="I688" s="24" t="str">
        <f t="shared" si="126"/>
        <v/>
      </c>
      <c r="M688" s="27" t="str">
        <f t="shared" si="122"/>
        <v/>
      </c>
      <c r="O688" s="27" t="str">
        <f t="shared" si="123"/>
        <v/>
      </c>
      <c r="P688" s="27" t="str">
        <f t="shared" si="127"/>
        <v/>
      </c>
      <c r="Q688" s="27" t="str">
        <f t="shared" si="124"/>
        <v/>
      </c>
      <c r="R688" s="27" t="str">
        <f t="shared" si="128"/>
        <v/>
      </c>
    </row>
    <row r="689" spans="7:18" x14ac:dyDescent="0.25">
      <c r="G689" s="29" t="str">
        <f t="shared" si="125"/>
        <v>E</v>
      </c>
      <c r="I689" s="24" t="str">
        <f t="shared" si="126"/>
        <v/>
      </c>
      <c r="M689" s="27" t="str">
        <f t="shared" si="122"/>
        <v/>
      </c>
      <c r="O689" s="27" t="str">
        <f t="shared" si="123"/>
        <v/>
      </c>
      <c r="P689" s="27" t="str">
        <f t="shared" si="127"/>
        <v/>
      </c>
      <c r="Q689" s="27" t="str">
        <f t="shared" si="124"/>
        <v/>
      </c>
      <c r="R689" s="27" t="str">
        <f t="shared" si="128"/>
        <v/>
      </c>
    </row>
    <row r="690" spans="7:18" x14ac:dyDescent="0.25">
      <c r="G690" s="29" t="str">
        <f t="shared" si="125"/>
        <v>E</v>
      </c>
      <c r="I690" s="24" t="str">
        <f t="shared" si="126"/>
        <v/>
      </c>
      <c r="M690" s="27" t="str">
        <f t="shared" si="122"/>
        <v/>
      </c>
      <c r="O690" s="27" t="str">
        <f t="shared" si="123"/>
        <v/>
      </c>
      <c r="P690" s="27" t="str">
        <f t="shared" si="127"/>
        <v/>
      </c>
      <c r="Q690" s="27" t="str">
        <f t="shared" si="124"/>
        <v/>
      </c>
      <c r="R690" s="27" t="str">
        <f t="shared" si="128"/>
        <v/>
      </c>
    </row>
    <row r="691" spans="7:18" x14ac:dyDescent="0.25">
      <c r="G691" s="29" t="str">
        <f t="shared" si="125"/>
        <v>E</v>
      </c>
      <c r="I691" s="24" t="str">
        <f t="shared" si="126"/>
        <v/>
      </c>
      <c r="M691" s="27" t="str">
        <f t="shared" si="122"/>
        <v/>
      </c>
      <c r="O691" s="27" t="str">
        <f t="shared" si="123"/>
        <v/>
      </c>
      <c r="P691" s="27" t="str">
        <f t="shared" si="127"/>
        <v/>
      </c>
      <c r="Q691" s="27" t="str">
        <f t="shared" si="124"/>
        <v/>
      </c>
      <c r="R691" s="27" t="str">
        <f t="shared" si="128"/>
        <v/>
      </c>
    </row>
    <row r="692" spans="7:18" x14ac:dyDescent="0.25">
      <c r="G692" s="29" t="str">
        <f t="shared" si="125"/>
        <v>E</v>
      </c>
      <c r="I692" s="24" t="str">
        <f t="shared" si="126"/>
        <v/>
      </c>
      <c r="M692" s="27" t="str">
        <f t="shared" si="122"/>
        <v/>
      </c>
      <c r="O692" s="27" t="str">
        <f t="shared" si="123"/>
        <v/>
      </c>
      <c r="P692" s="27" t="str">
        <f t="shared" si="127"/>
        <v/>
      </c>
      <c r="Q692" s="27" t="str">
        <f t="shared" si="124"/>
        <v/>
      </c>
      <c r="R692" s="27" t="str">
        <f t="shared" si="128"/>
        <v/>
      </c>
    </row>
    <row r="693" spans="7:18" x14ac:dyDescent="0.25">
      <c r="G693" s="29" t="str">
        <f t="shared" si="125"/>
        <v>E</v>
      </c>
      <c r="I693" s="24" t="str">
        <f t="shared" si="126"/>
        <v/>
      </c>
      <c r="M693" s="27" t="str">
        <f t="shared" si="122"/>
        <v/>
      </c>
      <c r="O693" s="27" t="str">
        <f t="shared" si="123"/>
        <v/>
      </c>
      <c r="P693" s="27" t="str">
        <f t="shared" si="127"/>
        <v/>
      </c>
      <c r="Q693" s="27" t="str">
        <f t="shared" si="124"/>
        <v/>
      </c>
      <c r="R693" s="27" t="str">
        <f t="shared" si="128"/>
        <v/>
      </c>
    </row>
    <row r="694" spans="7:18" x14ac:dyDescent="0.25">
      <c r="G694" s="29" t="str">
        <f t="shared" si="125"/>
        <v>E</v>
      </c>
      <c r="I694" s="24" t="str">
        <f t="shared" si="126"/>
        <v/>
      </c>
      <c r="M694" s="27" t="str">
        <f t="shared" si="122"/>
        <v/>
      </c>
      <c r="O694" s="27" t="str">
        <f t="shared" si="123"/>
        <v/>
      </c>
      <c r="P694" s="27" t="str">
        <f t="shared" si="127"/>
        <v/>
      </c>
      <c r="Q694" s="27" t="str">
        <f t="shared" si="124"/>
        <v/>
      </c>
      <c r="R694" s="27" t="str">
        <f t="shared" si="128"/>
        <v/>
      </c>
    </row>
    <row r="695" spans="7:18" x14ac:dyDescent="0.25">
      <c r="G695" s="29" t="str">
        <f t="shared" si="125"/>
        <v>E</v>
      </c>
      <c r="I695" s="24" t="str">
        <f t="shared" si="126"/>
        <v/>
      </c>
      <c r="M695" s="27" t="str">
        <f t="shared" si="122"/>
        <v/>
      </c>
      <c r="O695" s="27" t="str">
        <f t="shared" si="123"/>
        <v/>
      </c>
      <c r="P695" s="27" t="str">
        <f t="shared" si="127"/>
        <v/>
      </c>
      <c r="Q695" s="27" t="str">
        <f t="shared" si="124"/>
        <v/>
      </c>
      <c r="R695" s="27" t="str">
        <f t="shared" si="128"/>
        <v/>
      </c>
    </row>
    <row r="696" spans="7:18" x14ac:dyDescent="0.25">
      <c r="G696" s="29" t="str">
        <f t="shared" si="125"/>
        <v>E</v>
      </c>
      <c r="I696" s="24" t="str">
        <f t="shared" si="126"/>
        <v/>
      </c>
      <c r="M696" s="27" t="str">
        <f t="shared" si="122"/>
        <v/>
      </c>
      <c r="O696" s="27" t="str">
        <f t="shared" si="123"/>
        <v/>
      </c>
      <c r="P696" s="27" t="str">
        <f t="shared" si="127"/>
        <v/>
      </c>
      <c r="Q696" s="27" t="str">
        <f t="shared" si="124"/>
        <v/>
      </c>
      <c r="R696" s="27" t="str">
        <f t="shared" si="128"/>
        <v/>
      </c>
    </row>
    <row r="697" spans="7:18" x14ac:dyDescent="0.25">
      <c r="G697" s="29" t="str">
        <f t="shared" si="125"/>
        <v>E</v>
      </c>
      <c r="I697" s="24" t="str">
        <f t="shared" si="126"/>
        <v/>
      </c>
      <c r="M697" s="27" t="str">
        <f t="shared" si="122"/>
        <v/>
      </c>
      <c r="O697" s="27" t="str">
        <f t="shared" si="123"/>
        <v/>
      </c>
      <c r="P697" s="27" t="str">
        <f t="shared" si="127"/>
        <v/>
      </c>
      <c r="Q697" s="27" t="str">
        <f t="shared" si="124"/>
        <v/>
      </c>
      <c r="R697" s="27" t="str">
        <f t="shared" si="128"/>
        <v/>
      </c>
    </row>
    <row r="698" spans="7:18" x14ac:dyDescent="0.25">
      <c r="G698" s="29" t="str">
        <f t="shared" si="125"/>
        <v>E</v>
      </c>
      <c r="I698" s="24" t="str">
        <f t="shared" si="126"/>
        <v/>
      </c>
      <c r="M698" s="27" t="str">
        <f t="shared" ref="M698:M761" si="129">IF(L698="","",VLOOKUP(L698,$Y$4:$Z$15,2,TRUE))</f>
        <v/>
      </c>
      <c r="O698" s="27" t="str">
        <f t="shared" ref="O698:O761" si="130">IF(N698="","",VLOOKUP(N698,$Y$4:$Z$15,2,TRUE))</f>
        <v/>
      </c>
      <c r="P698" s="27" t="str">
        <f t="shared" si="127"/>
        <v/>
      </c>
      <c r="Q698" s="27" t="str">
        <f t="shared" si="124"/>
        <v/>
      </c>
      <c r="R698" s="27" t="str">
        <f t="shared" si="128"/>
        <v/>
      </c>
    </row>
    <row r="699" spans="7:18" x14ac:dyDescent="0.25">
      <c r="G699" s="29" t="str">
        <f t="shared" si="125"/>
        <v>E</v>
      </c>
      <c r="I699" s="24" t="str">
        <f t="shared" si="126"/>
        <v/>
      </c>
      <c r="M699" s="27" t="str">
        <f t="shared" si="129"/>
        <v/>
      </c>
      <c r="O699" s="27" t="str">
        <f t="shared" si="130"/>
        <v/>
      </c>
      <c r="P699" s="27" t="str">
        <f t="shared" si="127"/>
        <v/>
      </c>
      <c r="Q699" s="27" t="str">
        <f t="shared" si="124"/>
        <v/>
      </c>
      <c r="R699" s="27" t="str">
        <f t="shared" si="128"/>
        <v/>
      </c>
    </row>
    <row r="700" spans="7:18" x14ac:dyDescent="0.25">
      <c r="G700" s="29" t="str">
        <f t="shared" si="125"/>
        <v>E</v>
      </c>
      <c r="I700" s="24" t="str">
        <f t="shared" si="126"/>
        <v/>
      </c>
      <c r="M700" s="27" t="str">
        <f t="shared" si="129"/>
        <v/>
      </c>
      <c r="O700" s="27" t="str">
        <f t="shared" si="130"/>
        <v/>
      </c>
      <c r="P700" s="27" t="str">
        <f t="shared" si="127"/>
        <v/>
      </c>
      <c r="Q700" s="27" t="str">
        <f t="shared" si="124"/>
        <v/>
      </c>
      <c r="R700" s="27" t="str">
        <f t="shared" si="128"/>
        <v/>
      </c>
    </row>
    <row r="701" spans="7:18" x14ac:dyDescent="0.25">
      <c r="G701" s="29" t="str">
        <f t="shared" si="125"/>
        <v>E</v>
      </c>
      <c r="I701" s="24" t="str">
        <f t="shared" si="126"/>
        <v/>
      </c>
      <c r="M701" s="27" t="str">
        <f t="shared" si="129"/>
        <v/>
      </c>
      <c r="O701" s="27" t="str">
        <f t="shared" si="130"/>
        <v/>
      </c>
      <c r="P701" s="27" t="str">
        <f t="shared" si="127"/>
        <v/>
      </c>
      <c r="Q701" s="27" t="str">
        <f t="shared" si="124"/>
        <v/>
      </c>
      <c r="R701" s="27" t="str">
        <f t="shared" si="128"/>
        <v/>
      </c>
    </row>
    <row r="702" spans="7:18" x14ac:dyDescent="0.25">
      <c r="G702" s="29" t="str">
        <f t="shared" si="125"/>
        <v>E</v>
      </c>
      <c r="I702" s="24" t="str">
        <f t="shared" si="126"/>
        <v/>
      </c>
      <c r="M702" s="27" t="str">
        <f t="shared" si="129"/>
        <v/>
      </c>
      <c r="O702" s="27" t="str">
        <f t="shared" si="130"/>
        <v/>
      </c>
      <c r="P702" s="27" t="str">
        <f t="shared" si="127"/>
        <v/>
      </c>
      <c r="Q702" s="27" t="str">
        <f t="shared" si="124"/>
        <v/>
      </c>
      <c r="R702" s="27" t="str">
        <f t="shared" si="128"/>
        <v/>
      </c>
    </row>
    <row r="703" spans="7:18" x14ac:dyDescent="0.25">
      <c r="G703" s="29" t="str">
        <f t="shared" si="125"/>
        <v>E</v>
      </c>
      <c r="I703" s="24" t="str">
        <f t="shared" si="126"/>
        <v/>
      </c>
      <c r="M703" s="27" t="str">
        <f t="shared" si="129"/>
        <v/>
      </c>
      <c r="O703" s="27" t="str">
        <f t="shared" si="130"/>
        <v/>
      </c>
      <c r="P703" s="27" t="str">
        <f t="shared" si="127"/>
        <v/>
      </c>
      <c r="Q703" s="27" t="str">
        <f t="shared" si="124"/>
        <v/>
      </c>
      <c r="R703" s="27" t="str">
        <f t="shared" si="128"/>
        <v/>
      </c>
    </row>
    <row r="704" spans="7:18" x14ac:dyDescent="0.25">
      <c r="G704" s="29" t="str">
        <f t="shared" si="125"/>
        <v>E</v>
      </c>
      <c r="I704" s="24" t="str">
        <f t="shared" si="126"/>
        <v/>
      </c>
      <c r="M704" s="27" t="str">
        <f t="shared" si="129"/>
        <v/>
      </c>
      <c r="O704" s="27" t="str">
        <f t="shared" si="130"/>
        <v/>
      </c>
      <c r="P704" s="27" t="str">
        <f t="shared" si="127"/>
        <v/>
      </c>
      <c r="Q704" s="27" t="str">
        <f t="shared" si="124"/>
        <v/>
      </c>
      <c r="R704" s="27" t="str">
        <f t="shared" si="128"/>
        <v/>
      </c>
    </row>
    <row r="705" spans="7:18" x14ac:dyDescent="0.25">
      <c r="G705" s="29" t="str">
        <f t="shared" si="125"/>
        <v>E</v>
      </c>
      <c r="I705" s="24" t="str">
        <f t="shared" si="126"/>
        <v/>
      </c>
      <c r="M705" s="27" t="str">
        <f t="shared" si="129"/>
        <v/>
      </c>
      <c r="O705" s="27" t="str">
        <f t="shared" si="130"/>
        <v/>
      </c>
      <c r="P705" s="27" t="str">
        <f t="shared" si="127"/>
        <v/>
      </c>
      <c r="Q705" s="27" t="str">
        <f t="shared" si="124"/>
        <v/>
      </c>
      <c r="R705" s="27" t="str">
        <f t="shared" si="128"/>
        <v/>
      </c>
    </row>
    <row r="706" spans="7:18" x14ac:dyDescent="0.25">
      <c r="G706" s="29" t="str">
        <f t="shared" si="125"/>
        <v>E</v>
      </c>
      <c r="I706" s="24" t="str">
        <f t="shared" si="126"/>
        <v/>
      </c>
      <c r="M706" s="27" t="str">
        <f t="shared" si="129"/>
        <v/>
      </c>
      <c r="O706" s="27" t="str">
        <f t="shared" si="130"/>
        <v/>
      </c>
      <c r="P706" s="27" t="str">
        <f t="shared" si="127"/>
        <v/>
      </c>
      <c r="Q706" s="27" t="str">
        <f t="shared" si="124"/>
        <v/>
      </c>
      <c r="R706" s="27" t="str">
        <f t="shared" si="128"/>
        <v/>
      </c>
    </row>
    <row r="707" spans="7:18" x14ac:dyDescent="0.25">
      <c r="G707" s="29" t="str">
        <f t="shared" si="125"/>
        <v>E</v>
      </c>
      <c r="I707" s="24" t="str">
        <f t="shared" si="126"/>
        <v/>
      </c>
      <c r="M707" s="27" t="str">
        <f t="shared" si="129"/>
        <v/>
      </c>
      <c r="O707" s="27" t="str">
        <f t="shared" si="130"/>
        <v/>
      </c>
      <c r="P707" s="27" t="str">
        <f t="shared" si="127"/>
        <v/>
      </c>
      <c r="Q707" s="27" t="str">
        <f t="shared" ref="Q707:Q770" si="131">IF(P707="","",P707/500*12)</f>
        <v/>
      </c>
      <c r="R707" s="27" t="str">
        <f t="shared" si="128"/>
        <v/>
      </c>
    </row>
    <row r="708" spans="7:18" x14ac:dyDescent="0.25">
      <c r="G708" s="29" t="str">
        <f t="shared" si="125"/>
        <v>E</v>
      </c>
      <c r="I708" s="24" t="str">
        <f t="shared" si="126"/>
        <v/>
      </c>
      <c r="M708" s="27" t="str">
        <f t="shared" si="129"/>
        <v/>
      </c>
      <c r="O708" s="27" t="str">
        <f t="shared" si="130"/>
        <v/>
      </c>
      <c r="P708" s="27" t="str">
        <f t="shared" si="127"/>
        <v/>
      </c>
      <c r="Q708" s="27" t="str">
        <f t="shared" si="131"/>
        <v/>
      </c>
      <c r="R708" s="27" t="str">
        <f t="shared" si="128"/>
        <v/>
      </c>
    </row>
    <row r="709" spans="7:18" x14ac:dyDescent="0.25">
      <c r="G709" s="29" t="str">
        <f t="shared" ref="G709:G772" si="132">VLOOKUP(F709,$Y$4:$Z$15,2,TRUE)</f>
        <v>E</v>
      </c>
      <c r="I709" s="24" t="str">
        <f t="shared" si="126"/>
        <v/>
      </c>
      <c r="M709" s="27" t="str">
        <f t="shared" si="129"/>
        <v/>
      </c>
      <c r="O709" s="27" t="str">
        <f t="shared" si="130"/>
        <v/>
      </c>
      <c r="P709" s="27" t="str">
        <f t="shared" si="127"/>
        <v/>
      </c>
      <c r="Q709" s="27" t="str">
        <f t="shared" si="131"/>
        <v/>
      </c>
      <c r="R709" s="27" t="str">
        <f t="shared" si="128"/>
        <v/>
      </c>
    </row>
    <row r="710" spans="7:18" x14ac:dyDescent="0.25">
      <c r="G710" s="29" t="str">
        <f t="shared" si="132"/>
        <v>E</v>
      </c>
      <c r="I710" s="24" t="str">
        <f t="shared" si="126"/>
        <v/>
      </c>
      <c r="M710" s="27" t="str">
        <f t="shared" si="129"/>
        <v/>
      </c>
      <c r="O710" s="27" t="str">
        <f t="shared" si="130"/>
        <v/>
      </c>
      <c r="P710" s="27" t="str">
        <f t="shared" si="127"/>
        <v/>
      </c>
      <c r="Q710" s="27" t="str">
        <f t="shared" si="131"/>
        <v/>
      </c>
      <c r="R710" s="27" t="str">
        <f t="shared" si="128"/>
        <v/>
      </c>
    </row>
    <row r="711" spans="7:18" x14ac:dyDescent="0.25">
      <c r="G711" s="29" t="str">
        <f t="shared" si="132"/>
        <v>E</v>
      </c>
      <c r="I711" s="24" t="str">
        <f t="shared" si="126"/>
        <v/>
      </c>
      <c r="M711" s="27" t="str">
        <f t="shared" si="129"/>
        <v/>
      </c>
      <c r="O711" s="27" t="str">
        <f t="shared" si="130"/>
        <v/>
      </c>
      <c r="P711" s="27" t="str">
        <f t="shared" si="127"/>
        <v/>
      </c>
      <c r="Q711" s="27" t="str">
        <f t="shared" si="131"/>
        <v/>
      </c>
      <c r="R711" s="27" t="str">
        <f t="shared" si="128"/>
        <v/>
      </c>
    </row>
    <row r="712" spans="7:18" x14ac:dyDescent="0.25">
      <c r="G712" s="29" t="str">
        <f t="shared" si="132"/>
        <v>E</v>
      </c>
      <c r="I712" s="24" t="str">
        <f t="shared" si="126"/>
        <v/>
      </c>
      <c r="M712" s="27" t="str">
        <f t="shared" si="129"/>
        <v/>
      </c>
      <c r="O712" s="27" t="str">
        <f t="shared" si="130"/>
        <v/>
      </c>
      <c r="P712" s="27" t="str">
        <f t="shared" si="127"/>
        <v/>
      </c>
      <c r="Q712" s="27" t="str">
        <f t="shared" si="131"/>
        <v/>
      </c>
      <c r="R712" s="27" t="str">
        <f t="shared" si="128"/>
        <v/>
      </c>
    </row>
    <row r="713" spans="7:18" x14ac:dyDescent="0.25">
      <c r="G713" s="29" t="str">
        <f t="shared" si="132"/>
        <v>E</v>
      </c>
      <c r="I713" s="24" t="str">
        <f t="shared" si="126"/>
        <v/>
      </c>
      <c r="M713" s="27" t="str">
        <f t="shared" si="129"/>
        <v/>
      </c>
      <c r="O713" s="27" t="str">
        <f t="shared" si="130"/>
        <v/>
      </c>
      <c r="P713" s="27" t="str">
        <f t="shared" si="127"/>
        <v/>
      </c>
      <c r="Q713" s="27" t="str">
        <f t="shared" si="131"/>
        <v/>
      </c>
      <c r="R713" s="27" t="str">
        <f t="shared" si="128"/>
        <v/>
      </c>
    </row>
    <row r="714" spans="7:18" x14ac:dyDescent="0.25">
      <c r="G714" s="29" t="str">
        <f t="shared" si="132"/>
        <v>E</v>
      </c>
      <c r="I714" s="24" t="str">
        <f t="shared" si="126"/>
        <v/>
      </c>
      <c r="M714" s="27" t="str">
        <f t="shared" si="129"/>
        <v/>
      </c>
      <c r="O714" s="27" t="str">
        <f t="shared" si="130"/>
        <v/>
      </c>
      <c r="P714" s="27" t="str">
        <f t="shared" si="127"/>
        <v/>
      </c>
      <c r="Q714" s="27" t="str">
        <f t="shared" si="131"/>
        <v/>
      </c>
      <c r="R714" s="27" t="str">
        <f t="shared" si="128"/>
        <v/>
      </c>
    </row>
    <row r="715" spans="7:18" x14ac:dyDescent="0.25">
      <c r="G715" s="29" t="str">
        <f t="shared" si="132"/>
        <v>E</v>
      </c>
      <c r="I715" s="24" t="str">
        <f t="shared" si="126"/>
        <v/>
      </c>
      <c r="M715" s="27" t="str">
        <f t="shared" si="129"/>
        <v/>
      </c>
      <c r="O715" s="27" t="str">
        <f t="shared" si="130"/>
        <v/>
      </c>
      <c r="P715" s="27" t="str">
        <f t="shared" si="127"/>
        <v/>
      </c>
      <c r="Q715" s="27" t="str">
        <f t="shared" si="131"/>
        <v/>
      </c>
      <c r="R715" s="27" t="str">
        <f t="shared" si="128"/>
        <v/>
      </c>
    </row>
    <row r="716" spans="7:18" x14ac:dyDescent="0.25">
      <c r="G716" s="29" t="str">
        <f t="shared" si="132"/>
        <v>E</v>
      </c>
      <c r="I716" s="24" t="str">
        <f t="shared" si="126"/>
        <v/>
      </c>
      <c r="M716" s="27" t="str">
        <f t="shared" si="129"/>
        <v/>
      </c>
      <c r="O716" s="27" t="str">
        <f t="shared" si="130"/>
        <v/>
      </c>
      <c r="P716" s="27" t="str">
        <f t="shared" si="127"/>
        <v/>
      </c>
      <c r="Q716" s="27" t="str">
        <f t="shared" si="131"/>
        <v/>
      </c>
      <c r="R716" s="27" t="str">
        <f t="shared" si="128"/>
        <v/>
      </c>
    </row>
    <row r="717" spans="7:18" x14ac:dyDescent="0.25">
      <c r="G717" s="29" t="str">
        <f t="shared" si="132"/>
        <v>E</v>
      </c>
      <c r="I717" s="24" t="str">
        <f t="shared" si="126"/>
        <v/>
      </c>
      <c r="M717" s="27" t="str">
        <f t="shared" si="129"/>
        <v/>
      </c>
      <c r="O717" s="27" t="str">
        <f t="shared" si="130"/>
        <v/>
      </c>
      <c r="P717" s="27" t="str">
        <f t="shared" si="127"/>
        <v/>
      </c>
      <c r="Q717" s="27" t="str">
        <f t="shared" si="131"/>
        <v/>
      </c>
      <c r="R717" s="27" t="str">
        <f t="shared" si="128"/>
        <v/>
      </c>
    </row>
    <row r="718" spans="7:18" x14ac:dyDescent="0.25">
      <c r="G718" s="29" t="str">
        <f t="shared" si="132"/>
        <v>E</v>
      </c>
      <c r="I718" s="24" t="str">
        <f t="shared" si="126"/>
        <v/>
      </c>
      <c r="M718" s="27" t="str">
        <f t="shared" si="129"/>
        <v/>
      </c>
      <c r="O718" s="27" t="str">
        <f t="shared" si="130"/>
        <v/>
      </c>
      <c r="P718" s="27" t="str">
        <f t="shared" si="127"/>
        <v/>
      </c>
      <c r="Q718" s="27" t="str">
        <f t="shared" si="131"/>
        <v/>
      </c>
      <c r="R718" s="27" t="str">
        <f t="shared" si="128"/>
        <v/>
      </c>
    </row>
    <row r="719" spans="7:18" x14ac:dyDescent="0.25">
      <c r="G719" s="29" t="str">
        <f t="shared" si="132"/>
        <v>E</v>
      </c>
      <c r="I719" s="24" t="str">
        <f t="shared" si="126"/>
        <v/>
      </c>
      <c r="M719" s="27" t="str">
        <f t="shared" si="129"/>
        <v/>
      </c>
      <c r="O719" s="27" t="str">
        <f t="shared" si="130"/>
        <v/>
      </c>
      <c r="P719" s="27" t="str">
        <f t="shared" si="127"/>
        <v/>
      </c>
      <c r="Q719" s="27" t="str">
        <f t="shared" si="131"/>
        <v/>
      </c>
      <c r="R719" s="27" t="str">
        <f t="shared" si="128"/>
        <v/>
      </c>
    </row>
    <row r="720" spans="7:18" x14ac:dyDescent="0.25">
      <c r="G720" s="29" t="str">
        <f t="shared" si="132"/>
        <v>E</v>
      </c>
      <c r="I720" s="24" t="str">
        <f t="shared" si="126"/>
        <v/>
      </c>
      <c r="M720" s="27" t="str">
        <f t="shared" si="129"/>
        <v/>
      </c>
      <c r="O720" s="27" t="str">
        <f t="shared" si="130"/>
        <v/>
      </c>
      <c r="P720" s="27" t="str">
        <f t="shared" si="127"/>
        <v/>
      </c>
      <c r="Q720" s="27" t="str">
        <f t="shared" si="131"/>
        <v/>
      </c>
      <c r="R720" s="27" t="str">
        <f t="shared" si="128"/>
        <v/>
      </c>
    </row>
    <row r="721" spans="7:18" x14ac:dyDescent="0.25">
      <c r="G721" s="29" t="str">
        <f t="shared" si="132"/>
        <v>E</v>
      </c>
      <c r="I721" s="24" t="str">
        <f t="shared" si="126"/>
        <v/>
      </c>
      <c r="M721" s="27" t="str">
        <f t="shared" si="129"/>
        <v/>
      </c>
      <c r="O721" s="27" t="str">
        <f t="shared" si="130"/>
        <v/>
      </c>
      <c r="P721" s="27" t="str">
        <f t="shared" si="127"/>
        <v/>
      </c>
      <c r="Q721" s="27" t="str">
        <f t="shared" si="131"/>
        <v/>
      </c>
      <c r="R721" s="27" t="str">
        <f t="shared" si="128"/>
        <v/>
      </c>
    </row>
    <row r="722" spans="7:18" x14ac:dyDescent="0.25">
      <c r="G722" s="29" t="str">
        <f t="shared" si="132"/>
        <v>E</v>
      </c>
      <c r="I722" s="24" t="str">
        <f t="shared" si="126"/>
        <v/>
      </c>
      <c r="M722" s="27" t="str">
        <f t="shared" si="129"/>
        <v/>
      </c>
      <c r="O722" s="27" t="str">
        <f t="shared" si="130"/>
        <v/>
      </c>
      <c r="P722" s="27" t="str">
        <f t="shared" si="127"/>
        <v/>
      </c>
      <c r="Q722" s="27" t="str">
        <f t="shared" si="131"/>
        <v/>
      </c>
      <c r="R722" s="27" t="str">
        <f t="shared" si="128"/>
        <v/>
      </c>
    </row>
    <row r="723" spans="7:18" x14ac:dyDescent="0.25">
      <c r="G723" s="29" t="str">
        <f t="shared" si="132"/>
        <v>E</v>
      </c>
      <c r="I723" s="24" t="str">
        <f t="shared" si="126"/>
        <v/>
      </c>
      <c r="M723" s="27" t="str">
        <f t="shared" si="129"/>
        <v/>
      </c>
      <c r="O723" s="27" t="str">
        <f t="shared" si="130"/>
        <v/>
      </c>
      <c r="P723" s="27" t="str">
        <f t="shared" si="127"/>
        <v/>
      </c>
      <c r="Q723" s="27" t="str">
        <f t="shared" si="131"/>
        <v/>
      </c>
      <c r="R723" s="27" t="str">
        <f t="shared" si="128"/>
        <v/>
      </c>
    </row>
    <row r="724" spans="7:18" x14ac:dyDescent="0.25">
      <c r="G724" s="29" t="str">
        <f t="shared" si="132"/>
        <v>E</v>
      </c>
      <c r="I724" s="24" t="str">
        <f t="shared" si="126"/>
        <v/>
      </c>
      <c r="M724" s="27" t="str">
        <f t="shared" si="129"/>
        <v/>
      </c>
      <c r="O724" s="27" t="str">
        <f t="shared" si="130"/>
        <v/>
      </c>
      <c r="P724" s="27" t="str">
        <f t="shared" si="127"/>
        <v/>
      </c>
      <c r="Q724" s="27" t="str">
        <f t="shared" si="131"/>
        <v/>
      </c>
      <c r="R724" s="27" t="str">
        <f t="shared" si="128"/>
        <v/>
      </c>
    </row>
    <row r="725" spans="7:18" x14ac:dyDescent="0.25">
      <c r="G725" s="29" t="str">
        <f t="shared" si="132"/>
        <v>E</v>
      </c>
      <c r="I725" s="24" t="str">
        <f t="shared" si="126"/>
        <v/>
      </c>
      <c r="M725" s="27" t="str">
        <f t="shared" si="129"/>
        <v/>
      </c>
      <c r="O725" s="27" t="str">
        <f t="shared" si="130"/>
        <v/>
      </c>
      <c r="P725" s="27" t="str">
        <f t="shared" si="127"/>
        <v/>
      </c>
      <c r="Q725" s="27" t="str">
        <f t="shared" si="131"/>
        <v/>
      </c>
      <c r="R725" s="27" t="str">
        <f t="shared" si="128"/>
        <v/>
      </c>
    </row>
    <row r="726" spans="7:18" x14ac:dyDescent="0.25">
      <c r="G726" s="29" t="str">
        <f t="shared" si="132"/>
        <v>E</v>
      </c>
      <c r="I726" s="24" t="str">
        <f t="shared" si="126"/>
        <v/>
      </c>
      <c r="M726" s="27" t="str">
        <f t="shared" si="129"/>
        <v/>
      </c>
      <c r="O726" s="27" t="str">
        <f t="shared" si="130"/>
        <v/>
      </c>
      <c r="P726" s="27" t="str">
        <f t="shared" si="127"/>
        <v/>
      </c>
      <c r="Q726" s="27" t="str">
        <f t="shared" si="131"/>
        <v/>
      </c>
      <c r="R726" s="27" t="str">
        <f t="shared" si="128"/>
        <v/>
      </c>
    </row>
    <row r="727" spans="7:18" x14ac:dyDescent="0.25">
      <c r="G727" s="29" t="str">
        <f t="shared" si="132"/>
        <v>E</v>
      </c>
      <c r="I727" s="24" t="str">
        <f t="shared" si="126"/>
        <v/>
      </c>
      <c r="M727" s="27" t="str">
        <f t="shared" si="129"/>
        <v/>
      </c>
      <c r="O727" s="27" t="str">
        <f t="shared" si="130"/>
        <v/>
      </c>
      <c r="P727" s="27" t="str">
        <f t="shared" si="127"/>
        <v/>
      </c>
      <c r="Q727" s="27" t="str">
        <f t="shared" si="131"/>
        <v/>
      </c>
      <c r="R727" s="27" t="str">
        <f t="shared" si="128"/>
        <v/>
      </c>
    </row>
    <row r="728" spans="7:18" x14ac:dyDescent="0.25">
      <c r="G728" s="29" t="str">
        <f t="shared" si="132"/>
        <v>E</v>
      </c>
      <c r="I728" s="24" t="str">
        <f t="shared" ref="I728:I791" si="133">IF(H728="","",VLOOKUP(H728,$Y$4:$Z$15,2,TRUE))</f>
        <v/>
      </c>
      <c r="M728" s="27" t="str">
        <f t="shared" si="129"/>
        <v/>
      </c>
      <c r="O728" s="27" t="str">
        <f t="shared" si="130"/>
        <v/>
      </c>
      <c r="P728" s="27" t="str">
        <f t="shared" si="127"/>
        <v/>
      </c>
      <c r="Q728" s="27" t="str">
        <f t="shared" si="131"/>
        <v/>
      </c>
      <c r="R728" s="27" t="str">
        <f t="shared" si="128"/>
        <v/>
      </c>
    </row>
    <row r="729" spans="7:18" x14ac:dyDescent="0.25">
      <c r="G729" s="29" t="str">
        <f t="shared" si="132"/>
        <v>E</v>
      </c>
      <c r="I729" s="24" t="str">
        <f t="shared" si="133"/>
        <v/>
      </c>
      <c r="M729" s="27" t="str">
        <f t="shared" si="129"/>
        <v/>
      </c>
      <c r="O729" s="27" t="str">
        <f t="shared" si="130"/>
        <v/>
      </c>
      <c r="P729" s="27" t="str">
        <f t="shared" ref="P729:P792" si="134">IF(COUNT(F729:O729)=0,"",SUM(F729:O729))</f>
        <v/>
      </c>
      <c r="Q729" s="27" t="str">
        <f t="shared" si="131"/>
        <v/>
      </c>
      <c r="R729" s="27" t="str">
        <f t="shared" si="128"/>
        <v/>
      </c>
    </row>
    <row r="730" spans="7:18" x14ac:dyDescent="0.25">
      <c r="G730" s="29" t="str">
        <f t="shared" si="132"/>
        <v>E</v>
      </c>
      <c r="I730" s="24" t="str">
        <f t="shared" si="133"/>
        <v/>
      </c>
      <c r="M730" s="27" t="str">
        <f t="shared" si="129"/>
        <v/>
      </c>
      <c r="O730" s="27" t="str">
        <f t="shared" si="130"/>
        <v/>
      </c>
      <c r="P730" s="27" t="str">
        <f t="shared" si="134"/>
        <v/>
      </c>
      <c r="Q730" s="27" t="str">
        <f t="shared" si="131"/>
        <v/>
      </c>
      <c r="R730" s="27" t="str">
        <f t="shared" si="128"/>
        <v/>
      </c>
    </row>
    <row r="731" spans="7:18" x14ac:dyDescent="0.25">
      <c r="G731" s="29" t="str">
        <f t="shared" si="132"/>
        <v>E</v>
      </c>
      <c r="I731" s="24" t="str">
        <f t="shared" si="133"/>
        <v/>
      </c>
      <c r="M731" s="27" t="str">
        <f t="shared" si="129"/>
        <v/>
      </c>
      <c r="O731" s="27" t="str">
        <f t="shared" si="130"/>
        <v/>
      </c>
      <c r="P731" s="27" t="str">
        <f t="shared" si="134"/>
        <v/>
      </c>
      <c r="Q731" s="27" t="str">
        <f t="shared" si="131"/>
        <v/>
      </c>
      <c r="R731" s="27" t="str">
        <f t="shared" si="128"/>
        <v/>
      </c>
    </row>
    <row r="732" spans="7:18" x14ac:dyDescent="0.25">
      <c r="G732" s="29" t="str">
        <f t="shared" si="132"/>
        <v>E</v>
      </c>
      <c r="I732" s="24" t="str">
        <f t="shared" si="133"/>
        <v/>
      </c>
      <c r="M732" s="27" t="str">
        <f t="shared" si="129"/>
        <v/>
      </c>
      <c r="O732" s="27" t="str">
        <f t="shared" si="130"/>
        <v/>
      </c>
      <c r="P732" s="27" t="str">
        <f t="shared" si="134"/>
        <v/>
      </c>
      <c r="Q732" s="27" t="str">
        <f t="shared" si="131"/>
        <v/>
      </c>
      <c r="R732" s="27" t="str">
        <f t="shared" si="128"/>
        <v/>
      </c>
    </row>
    <row r="733" spans="7:18" x14ac:dyDescent="0.25">
      <c r="G733" s="29" t="str">
        <f t="shared" si="132"/>
        <v>E</v>
      </c>
      <c r="I733" s="24" t="str">
        <f t="shared" si="133"/>
        <v/>
      </c>
      <c r="M733" s="27" t="str">
        <f t="shared" si="129"/>
        <v/>
      </c>
      <c r="O733" s="27" t="str">
        <f t="shared" si="130"/>
        <v/>
      </c>
      <c r="P733" s="27" t="str">
        <f t="shared" si="134"/>
        <v/>
      </c>
      <c r="Q733" s="27" t="str">
        <f t="shared" si="131"/>
        <v/>
      </c>
      <c r="R733" s="27" t="str">
        <f t="shared" si="128"/>
        <v/>
      </c>
    </row>
    <row r="734" spans="7:18" x14ac:dyDescent="0.25">
      <c r="G734" s="29" t="str">
        <f t="shared" si="132"/>
        <v>E</v>
      </c>
      <c r="I734" s="24" t="str">
        <f t="shared" si="133"/>
        <v/>
      </c>
      <c r="M734" s="27" t="str">
        <f t="shared" si="129"/>
        <v/>
      </c>
      <c r="O734" s="27" t="str">
        <f t="shared" si="130"/>
        <v/>
      </c>
      <c r="P734" s="27" t="str">
        <f t="shared" si="134"/>
        <v/>
      </c>
      <c r="Q734" s="27" t="str">
        <f t="shared" si="131"/>
        <v/>
      </c>
      <c r="R734" s="27" t="str">
        <f t="shared" si="128"/>
        <v/>
      </c>
    </row>
    <row r="735" spans="7:18" x14ac:dyDescent="0.25">
      <c r="G735" s="29" t="str">
        <f t="shared" si="132"/>
        <v>E</v>
      </c>
      <c r="I735" s="24" t="str">
        <f t="shared" si="133"/>
        <v/>
      </c>
      <c r="M735" s="27" t="str">
        <f t="shared" si="129"/>
        <v/>
      </c>
      <c r="O735" s="27" t="str">
        <f t="shared" si="130"/>
        <v/>
      </c>
      <c r="P735" s="27" t="str">
        <f t="shared" si="134"/>
        <v/>
      </c>
      <c r="Q735" s="27" t="str">
        <f t="shared" si="131"/>
        <v/>
      </c>
      <c r="R735" s="27" t="str">
        <f t="shared" ref="R735:R798" si="135">IF(Q735="","",VLOOKUP(Q735,$W$4:$X$15,2,TRUE))</f>
        <v/>
      </c>
    </row>
    <row r="736" spans="7:18" x14ac:dyDescent="0.25">
      <c r="G736" s="29" t="str">
        <f t="shared" si="132"/>
        <v>E</v>
      </c>
      <c r="I736" s="24" t="str">
        <f t="shared" si="133"/>
        <v/>
      </c>
      <c r="M736" s="27" t="str">
        <f t="shared" si="129"/>
        <v/>
      </c>
      <c r="O736" s="27" t="str">
        <f t="shared" si="130"/>
        <v/>
      </c>
      <c r="P736" s="27" t="str">
        <f t="shared" si="134"/>
        <v/>
      </c>
      <c r="Q736" s="27" t="str">
        <f t="shared" si="131"/>
        <v/>
      </c>
      <c r="R736" s="27" t="str">
        <f t="shared" si="135"/>
        <v/>
      </c>
    </row>
    <row r="737" spans="7:18" x14ac:dyDescent="0.25">
      <c r="G737" s="29" t="str">
        <f t="shared" si="132"/>
        <v>E</v>
      </c>
      <c r="I737" s="24" t="str">
        <f t="shared" si="133"/>
        <v/>
      </c>
      <c r="M737" s="27" t="str">
        <f t="shared" si="129"/>
        <v/>
      </c>
      <c r="O737" s="27" t="str">
        <f t="shared" si="130"/>
        <v/>
      </c>
      <c r="P737" s="27" t="str">
        <f t="shared" si="134"/>
        <v/>
      </c>
      <c r="Q737" s="27" t="str">
        <f t="shared" si="131"/>
        <v/>
      </c>
      <c r="R737" s="27" t="str">
        <f t="shared" si="135"/>
        <v/>
      </c>
    </row>
    <row r="738" spans="7:18" x14ac:dyDescent="0.25">
      <c r="G738" s="29" t="str">
        <f t="shared" si="132"/>
        <v>E</v>
      </c>
      <c r="I738" s="24" t="str">
        <f t="shared" si="133"/>
        <v/>
      </c>
      <c r="M738" s="27" t="str">
        <f t="shared" si="129"/>
        <v/>
      </c>
      <c r="O738" s="27" t="str">
        <f t="shared" si="130"/>
        <v/>
      </c>
      <c r="P738" s="27" t="str">
        <f t="shared" si="134"/>
        <v/>
      </c>
      <c r="Q738" s="27" t="str">
        <f t="shared" si="131"/>
        <v/>
      </c>
      <c r="R738" s="27" t="str">
        <f t="shared" si="135"/>
        <v/>
      </c>
    </row>
    <row r="739" spans="7:18" x14ac:dyDescent="0.25">
      <c r="G739" s="29" t="str">
        <f t="shared" si="132"/>
        <v>E</v>
      </c>
      <c r="I739" s="24" t="str">
        <f t="shared" si="133"/>
        <v/>
      </c>
      <c r="M739" s="27" t="str">
        <f t="shared" si="129"/>
        <v/>
      </c>
      <c r="O739" s="27" t="str">
        <f t="shared" si="130"/>
        <v/>
      </c>
      <c r="P739" s="27" t="str">
        <f t="shared" si="134"/>
        <v/>
      </c>
      <c r="Q739" s="27" t="str">
        <f t="shared" si="131"/>
        <v/>
      </c>
      <c r="R739" s="27" t="str">
        <f t="shared" si="135"/>
        <v/>
      </c>
    </row>
    <row r="740" spans="7:18" x14ac:dyDescent="0.25">
      <c r="G740" s="29" t="str">
        <f t="shared" si="132"/>
        <v>E</v>
      </c>
      <c r="I740" s="24" t="str">
        <f t="shared" si="133"/>
        <v/>
      </c>
      <c r="M740" s="27" t="str">
        <f t="shared" si="129"/>
        <v/>
      </c>
      <c r="O740" s="27" t="str">
        <f t="shared" si="130"/>
        <v/>
      </c>
      <c r="P740" s="27" t="str">
        <f t="shared" si="134"/>
        <v/>
      </c>
      <c r="Q740" s="27" t="str">
        <f t="shared" si="131"/>
        <v/>
      </c>
      <c r="R740" s="27" t="str">
        <f t="shared" si="135"/>
        <v/>
      </c>
    </row>
    <row r="741" spans="7:18" x14ac:dyDescent="0.25">
      <c r="G741" s="29" t="str">
        <f t="shared" si="132"/>
        <v>E</v>
      </c>
      <c r="I741" s="24" t="str">
        <f t="shared" si="133"/>
        <v/>
      </c>
      <c r="M741" s="27" t="str">
        <f t="shared" si="129"/>
        <v/>
      </c>
      <c r="O741" s="27" t="str">
        <f t="shared" si="130"/>
        <v/>
      </c>
      <c r="P741" s="27" t="str">
        <f t="shared" si="134"/>
        <v/>
      </c>
      <c r="Q741" s="27" t="str">
        <f t="shared" si="131"/>
        <v/>
      </c>
      <c r="R741" s="27" t="str">
        <f t="shared" si="135"/>
        <v/>
      </c>
    </row>
    <row r="742" spans="7:18" x14ac:dyDescent="0.25">
      <c r="G742" s="29" t="str">
        <f t="shared" si="132"/>
        <v>E</v>
      </c>
      <c r="I742" s="24" t="str">
        <f t="shared" si="133"/>
        <v/>
      </c>
      <c r="M742" s="27" t="str">
        <f t="shared" si="129"/>
        <v/>
      </c>
      <c r="O742" s="27" t="str">
        <f t="shared" si="130"/>
        <v/>
      </c>
      <c r="P742" s="27" t="str">
        <f t="shared" si="134"/>
        <v/>
      </c>
      <c r="Q742" s="27" t="str">
        <f t="shared" si="131"/>
        <v/>
      </c>
      <c r="R742" s="27" t="str">
        <f t="shared" si="135"/>
        <v/>
      </c>
    </row>
    <row r="743" spans="7:18" x14ac:dyDescent="0.25">
      <c r="G743" s="29" t="str">
        <f t="shared" si="132"/>
        <v>E</v>
      </c>
      <c r="I743" s="24" t="str">
        <f t="shared" si="133"/>
        <v/>
      </c>
      <c r="M743" s="27" t="str">
        <f t="shared" si="129"/>
        <v/>
      </c>
      <c r="O743" s="27" t="str">
        <f t="shared" si="130"/>
        <v/>
      </c>
      <c r="P743" s="27" t="str">
        <f t="shared" si="134"/>
        <v/>
      </c>
      <c r="Q743" s="27" t="str">
        <f t="shared" si="131"/>
        <v/>
      </c>
      <c r="R743" s="27" t="str">
        <f t="shared" si="135"/>
        <v/>
      </c>
    </row>
    <row r="744" spans="7:18" x14ac:dyDescent="0.25">
      <c r="G744" s="29" t="str">
        <f t="shared" si="132"/>
        <v>E</v>
      </c>
      <c r="I744" s="24" t="str">
        <f t="shared" si="133"/>
        <v/>
      </c>
      <c r="M744" s="27" t="str">
        <f t="shared" si="129"/>
        <v/>
      </c>
      <c r="O744" s="27" t="str">
        <f t="shared" si="130"/>
        <v/>
      </c>
      <c r="P744" s="27" t="str">
        <f t="shared" si="134"/>
        <v/>
      </c>
      <c r="Q744" s="27" t="str">
        <f t="shared" si="131"/>
        <v/>
      </c>
      <c r="R744" s="27" t="str">
        <f t="shared" si="135"/>
        <v/>
      </c>
    </row>
    <row r="745" spans="7:18" x14ac:dyDescent="0.25">
      <c r="G745" s="29" t="str">
        <f t="shared" si="132"/>
        <v>E</v>
      </c>
      <c r="I745" s="24" t="str">
        <f t="shared" si="133"/>
        <v/>
      </c>
      <c r="M745" s="27" t="str">
        <f t="shared" si="129"/>
        <v/>
      </c>
      <c r="O745" s="27" t="str">
        <f t="shared" si="130"/>
        <v/>
      </c>
      <c r="P745" s="27" t="str">
        <f t="shared" si="134"/>
        <v/>
      </c>
      <c r="Q745" s="27" t="str">
        <f t="shared" si="131"/>
        <v/>
      </c>
      <c r="R745" s="27" t="str">
        <f t="shared" si="135"/>
        <v/>
      </c>
    </row>
    <row r="746" spans="7:18" x14ac:dyDescent="0.25">
      <c r="G746" s="29" t="str">
        <f t="shared" si="132"/>
        <v>E</v>
      </c>
      <c r="I746" s="24" t="str">
        <f t="shared" si="133"/>
        <v/>
      </c>
      <c r="M746" s="27" t="str">
        <f t="shared" si="129"/>
        <v/>
      </c>
      <c r="O746" s="27" t="str">
        <f t="shared" si="130"/>
        <v/>
      </c>
      <c r="P746" s="27" t="str">
        <f t="shared" si="134"/>
        <v/>
      </c>
      <c r="Q746" s="27" t="str">
        <f t="shared" si="131"/>
        <v/>
      </c>
      <c r="R746" s="27" t="str">
        <f t="shared" si="135"/>
        <v/>
      </c>
    </row>
    <row r="747" spans="7:18" x14ac:dyDescent="0.25">
      <c r="G747" s="29" t="str">
        <f t="shared" si="132"/>
        <v>E</v>
      </c>
      <c r="I747" s="24" t="str">
        <f t="shared" si="133"/>
        <v/>
      </c>
      <c r="M747" s="27" t="str">
        <f t="shared" si="129"/>
        <v/>
      </c>
      <c r="O747" s="27" t="str">
        <f t="shared" si="130"/>
        <v/>
      </c>
      <c r="P747" s="27" t="str">
        <f t="shared" si="134"/>
        <v/>
      </c>
      <c r="Q747" s="27" t="str">
        <f t="shared" si="131"/>
        <v/>
      </c>
      <c r="R747" s="27" t="str">
        <f t="shared" si="135"/>
        <v/>
      </c>
    </row>
    <row r="748" spans="7:18" x14ac:dyDescent="0.25">
      <c r="G748" s="29" t="str">
        <f t="shared" si="132"/>
        <v>E</v>
      </c>
      <c r="I748" s="24" t="str">
        <f t="shared" si="133"/>
        <v/>
      </c>
      <c r="M748" s="27" t="str">
        <f t="shared" si="129"/>
        <v/>
      </c>
      <c r="O748" s="27" t="str">
        <f t="shared" si="130"/>
        <v/>
      </c>
      <c r="P748" s="27" t="str">
        <f t="shared" si="134"/>
        <v/>
      </c>
      <c r="Q748" s="27" t="str">
        <f t="shared" si="131"/>
        <v/>
      </c>
      <c r="R748" s="27" t="str">
        <f t="shared" si="135"/>
        <v/>
      </c>
    </row>
    <row r="749" spans="7:18" x14ac:dyDescent="0.25">
      <c r="G749" s="29" t="str">
        <f t="shared" si="132"/>
        <v>E</v>
      </c>
      <c r="I749" s="24" t="str">
        <f t="shared" si="133"/>
        <v/>
      </c>
      <c r="M749" s="27" t="str">
        <f t="shared" si="129"/>
        <v/>
      </c>
      <c r="O749" s="27" t="str">
        <f t="shared" si="130"/>
        <v/>
      </c>
      <c r="P749" s="27" t="str">
        <f t="shared" si="134"/>
        <v/>
      </c>
      <c r="Q749" s="27" t="str">
        <f t="shared" si="131"/>
        <v/>
      </c>
      <c r="R749" s="27" t="str">
        <f t="shared" si="135"/>
        <v/>
      </c>
    </row>
    <row r="750" spans="7:18" x14ac:dyDescent="0.25">
      <c r="G750" s="29" t="str">
        <f t="shared" si="132"/>
        <v>E</v>
      </c>
      <c r="I750" s="24" t="str">
        <f t="shared" si="133"/>
        <v/>
      </c>
      <c r="M750" s="27" t="str">
        <f t="shared" si="129"/>
        <v/>
      </c>
      <c r="O750" s="27" t="str">
        <f t="shared" si="130"/>
        <v/>
      </c>
      <c r="P750" s="27" t="str">
        <f t="shared" si="134"/>
        <v/>
      </c>
      <c r="Q750" s="27" t="str">
        <f t="shared" si="131"/>
        <v/>
      </c>
      <c r="R750" s="27" t="str">
        <f t="shared" si="135"/>
        <v/>
      </c>
    </row>
    <row r="751" spans="7:18" x14ac:dyDescent="0.25">
      <c r="G751" s="29" t="str">
        <f t="shared" si="132"/>
        <v>E</v>
      </c>
      <c r="I751" s="24" t="str">
        <f t="shared" si="133"/>
        <v/>
      </c>
      <c r="M751" s="27" t="str">
        <f t="shared" si="129"/>
        <v/>
      </c>
      <c r="O751" s="27" t="str">
        <f t="shared" si="130"/>
        <v/>
      </c>
      <c r="P751" s="27" t="str">
        <f t="shared" si="134"/>
        <v/>
      </c>
      <c r="Q751" s="27" t="str">
        <f t="shared" si="131"/>
        <v/>
      </c>
      <c r="R751" s="27" t="str">
        <f t="shared" si="135"/>
        <v/>
      </c>
    </row>
    <row r="752" spans="7:18" x14ac:dyDescent="0.25">
      <c r="G752" s="29" t="str">
        <f t="shared" si="132"/>
        <v>E</v>
      </c>
      <c r="I752" s="24" t="str">
        <f t="shared" si="133"/>
        <v/>
      </c>
      <c r="M752" s="27" t="str">
        <f t="shared" si="129"/>
        <v/>
      </c>
      <c r="O752" s="27" t="str">
        <f t="shared" si="130"/>
        <v/>
      </c>
      <c r="P752" s="27" t="str">
        <f t="shared" si="134"/>
        <v/>
      </c>
      <c r="Q752" s="27" t="str">
        <f t="shared" si="131"/>
        <v/>
      </c>
      <c r="R752" s="27" t="str">
        <f t="shared" si="135"/>
        <v/>
      </c>
    </row>
    <row r="753" spans="7:18" x14ac:dyDescent="0.25">
      <c r="G753" s="29" t="str">
        <f t="shared" si="132"/>
        <v>E</v>
      </c>
      <c r="I753" s="24" t="str">
        <f t="shared" si="133"/>
        <v/>
      </c>
      <c r="M753" s="27" t="str">
        <f t="shared" si="129"/>
        <v/>
      </c>
      <c r="O753" s="27" t="str">
        <f t="shared" si="130"/>
        <v/>
      </c>
      <c r="P753" s="27" t="str">
        <f t="shared" si="134"/>
        <v/>
      </c>
      <c r="Q753" s="27" t="str">
        <f t="shared" si="131"/>
        <v/>
      </c>
      <c r="R753" s="27" t="str">
        <f t="shared" si="135"/>
        <v/>
      </c>
    </row>
    <row r="754" spans="7:18" x14ac:dyDescent="0.25">
      <c r="G754" s="29" t="str">
        <f t="shared" si="132"/>
        <v>E</v>
      </c>
      <c r="I754" s="24" t="str">
        <f t="shared" si="133"/>
        <v/>
      </c>
      <c r="M754" s="27" t="str">
        <f t="shared" si="129"/>
        <v/>
      </c>
      <c r="O754" s="27" t="str">
        <f t="shared" si="130"/>
        <v/>
      </c>
      <c r="P754" s="27" t="str">
        <f t="shared" si="134"/>
        <v/>
      </c>
      <c r="Q754" s="27" t="str">
        <f t="shared" si="131"/>
        <v/>
      </c>
      <c r="R754" s="27" t="str">
        <f t="shared" si="135"/>
        <v/>
      </c>
    </row>
    <row r="755" spans="7:18" x14ac:dyDescent="0.25">
      <c r="G755" s="29" t="str">
        <f t="shared" si="132"/>
        <v>E</v>
      </c>
      <c r="I755" s="24" t="str">
        <f t="shared" si="133"/>
        <v/>
      </c>
      <c r="M755" s="27" t="str">
        <f t="shared" si="129"/>
        <v/>
      </c>
      <c r="O755" s="27" t="str">
        <f t="shared" si="130"/>
        <v/>
      </c>
      <c r="P755" s="27" t="str">
        <f t="shared" si="134"/>
        <v/>
      </c>
      <c r="Q755" s="27" t="str">
        <f t="shared" si="131"/>
        <v/>
      </c>
      <c r="R755" s="27" t="str">
        <f t="shared" si="135"/>
        <v/>
      </c>
    </row>
    <row r="756" spans="7:18" x14ac:dyDescent="0.25">
      <c r="G756" s="29" t="str">
        <f t="shared" si="132"/>
        <v>E</v>
      </c>
      <c r="I756" s="24" t="str">
        <f t="shared" si="133"/>
        <v/>
      </c>
      <c r="M756" s="27" t="str">
        <f t="shared" si="129"/>
        <v/>
      </c>
      <c r="O756" s="27" t="str">
        <f t="shared" si="130"/>
        <v/>
      </c>
      <c r="P756" s="27" t="str">
        <f t="shared" si="134"/>
        <v/>
      </c>
      <c r="Q756" s="27" t="str">
        <f t="shared" si="131"/>
        <v/>
      </c>
      <c r="R756" s="27" t="str">
        <f t="shared" si="135"/>
        <v/>
      </c>
    </row>
    <row r="757" spans="7:18" x14ac:dyDescent="0.25">
      <c r="G757" s="29" t="str">
        <f t="shared" si="132"/>
        <v>E</v>
      </c>
      <c r="I757" s="24" t="str">
        <f t="shared" si="133"/>
        <v/>
      </c>
      <c r="M757" s="27" t="str">
        <f t="shared" si="129"/>
        <v/>
      </c>
      <c r="O757" s="27" t="str">
        <f t="shared" si="130"/>
        <v/>
      </c>
      <c r="P757" s="27" t="str">
        <f t="shared" si="134"/>
        <v/>
      </c>
      <c r="Q757" s="27" t="str">
        <f t="shared" si="131"/>
        <v/>
      </c>
      <c r="R757" s="27" t="str">
        <f t="shared" si="135"/>
        <v/>
      </c>
    </row>
    <row r="758" spans="7:18" x14ac:dyDescent="0.25">
      <c r="G758" s="29" t="str">
        <f t="shared" si="132"/>
        <v>E</v>
      </c>
      <c r="I758" s="24" t="str">
        <f t="shared" si="133"/>
        <v/>
      </c>
      <c r="M758" s="27" t="str">
        <f t="shared" si="129"/>
        <v/>
      </c>
      <c r="O758" s="27" t="str">
        <f t="shared" si="130"/>
        <v/>
      </c>
      <c r="P758" s="27" t="str">
        <f t="shared" si="134"/>
        <v/>
      </c>
      <c r="Q758" s="27" t="str">
        <f t="shared" si="131"/>
        <v/>
      </c>
      <c r="R758" s="27" t="str">
        <f t="shared" si="135"/>
        <v/>
      </c>
    </row>
    <row r="759" spans="7:18" x14ac:dyDescent="0.25">
      <c r="G759" s="29" t="str">
        <f t="shared" si="132"/>
        <v>E</v>
      </c>
      <c r="I759" s="24" t="str">
        <f t="shared" si="133"/>
        <v/>
      </c>
      <c r="M759" s="27" t="str">
        <f t="shared" si="129"/>
        <v/>
      </c>
      <c r="O759" s="27" t="str">
        <f t="shared" si="130"/>
        <v/>
      </c>
      <c r="P759" s="27" t="str">
        <f t="shared" si="134"/>
        <v/>
      </c>
      <c r="Q759" s="27" t="str">
        <f t="shared" si="131"/>
        <v/>
      </c>
      <c r="R759" s="27" t="str">
        <f t="shared" si="135"/>
        <v/>
      </c>
    </row>
    <row r="760" spans="7:18" x14ac:dyDescent="0.25">
      <c r="G760" s="29" t="str">
        <f t="shared" si="132"/>
        <v>E</v>
      </c>
      <c r="I760" s="24" t="str">
        <f t="shared" si="133"/>
        <v/>
      </c>
      <c r="M760" s="27" t="str">
        <f t="shared" si="129"/>
        <v/>
      </c>
      <c r="O760" s="27" t="str">
        <f t="shared" si="130"/>
        <v/>
      </c>
      <c r="P760" s="27" t="str">
        <f t="shared" si="134"/>
        <v/>
      </c>
      <c r="Q760" s="27" t="str">
        <f t="shared" si="131"/>
        <v/>
      </c>
      <c r="R760" s="27" t="str">
        <f t="shared" si="135"/>
        <v/>
      </c>
    </row>
    <row r="761" spans="7:18" x14ac:dyDescent="0.25">
      <c r="G761" s="29" t="str">
        <f t="shared" si="132"/>
        <v>E</v>
      </c>
      <c r="I761" s="24" t="str">
        <f t="shared" si="133"/>
        <v/>
      </c>
      <c r="M761" s="27" t="str">
        <f t="shared" si="129"/>
        <v/>
      </c>
      <c r="O761" s="27" t="str">
        <f t="shared" si="130"/>
        <v/>
      </c>
      <c r="P761" s="27" t="str">
        <f t="shared" si="134"/>
        <v/>
      </c>
      <c r="Q761" s="27" t="str">
        <f t="shared" si="131"/>
        <v/>
      </c>
      <c r="R761" s="27" t="str">
        <f t="shared" si="135"/>
        <v/>
      </c>
    </row>
    <row r="762" spans="7:18" x14ac:dyDescent="0.25">
      <c r="G762" s="29" t="str">
        <f t="shared" si="132"/>
        <v>E</v>
      </c>
      <c r="I762" s="24" t="str">
        <f t="shared" si="133"/>
        <v/>
      </c>
      <c r="M762" s="27" t="str">
        <f t="shared" ref="M762:M825" si="136">IF(L762="","",VLOOKUP(L762,$Y$4:$Z$15,2,TRUE))</f>
        <v/>
      </c>
      <c r="O762" s="27" t="str">
        <f t="shared" ref="O762:O825" si="137">IF(N762="","",VLOOKUP(N762,$Y$4:$Z$15,2,TRUE))</f>
        <v/>
      </c>
      <c r="P762" s="27" t="str">
        <f t="shared" si="134"/>
        <v/>
      </c>
      <c r="Q762" s="27" t="str">
        <f t="shared" si="131"/>
        <v/>
      </c>
      <c r="R762" s="27" t="str">
        <f t="shared" si="135"/>
        <v/>
      </c>
    </row>
    <row r="763" spans="7:18" x14ac:dyDescent="0.25">
      <c r="G763" s="29" t="str">
        <f t="shared" si="132"/>
        <v>E</v>
      </c>
      <c r="I763" s="24" t="str">
        <f t="shared" si="133"/>
        <v/>
      </c>
      <c r="M763" s="27" t="str">
        <f t="shared" si="136"/>
        <v/>
      </c>
      <c r="O763" s="27" t="str">
        <f t="shared" si="137"/>
        <v/>
      </c>
      <c r="P763" s="27" t="str">
        <f t="shared" si="134"/>
        <v/>
      </c>
      <c r="Q763" s="27" t="str">
        <f t="shared" si="131"/>
        <v/>
      </c>
      <c r="R763" s="27" t="str">
        <f t="shared" si="135"/>
        <v/>
      </c>
    </row>
    <row r="764" spans="7:18" x14ac:dyDescent="0.25">
      <c r="G764" s="29" t="str">
        <f t="shared" si="132"/>
        <v>E</v>
      </c>
      <c r="I764" s="24" t="str">
        <f t="shared" si="133"/>
        <v/>
      </c>
      <c r="M764" s="27" t="str">
        <f t="shared" si="136"/>
        <v/>
      </c>
      <c r="O764" s="27" t="str">
        <f t="shared" si="137"/>
        <v/>
      </c>
      <c r="P764" s="27" t="str">
        <f t="shared" si="134"/>
        <v/>
      </c>
      <c r="Q764" s="27" t="str">
        <f t="shared" si="131"/>
        <v/>
      </c>
      <c r="R764" s="27" t="str">
        <f t="shared" si="135"/>
        <v/>
      </c>
    </row>
    <row r="765" spans="7:18" x14ac:dyDescent="0.25">
      <c r="G765" s="29" t="str">
        <f t="shared" si="132"/>
        <v>E</v>
      </c>
      <c r="I765" s="24" t="str">
        <f t="shared" si="133"/>
        <v/>
      </c>
      <c r="M765" s="27" t="str">
        <f t="shared" si="136"/>
        <v/>
      </c>
      <c r="O765" s="27" t="str">
        <f t="shared" si="137"/>
        <v/>
      </c>
      <c r="P765" s="27" t="str">
        <f t="shared" si="134"/>
        <v/>
      </c>
      <c r="Q765" s="27" t="str">
        <f t="shared" si="131"/>
        <v/>
      </c>
      <c r="R765" s="27" t="str">
        <f t="shared" si="135"/>
        <v/>
      </c>
    </row>
    <row r="766" spans="7:18" x14ac:dyDescent="0.25">
      <c r="G766" s="29" t="str">
        <f t="shared" si="132"/>
        <v>E</v>
      </c>
      <c r="I766" s="24" t="str">
        <f t="shared" si="133"/>
        <v/>
      </c>
      <c r="M766" s="27" t="str">
        <f t="shared" si="136"/>
        <v/>
      </c>
      <c r="O766" s="27" t="str">
        <f t="shared" si="137"/>
        <v/>
      </c>
      <c r="P766" s="27" t="str">
        <f t="shared" si="134"/>
        <v/>
      </c>
      <c r="Q766" s="27" t="str">
        <f t="shared" si="131"/>
        <v/>
      </c>
      <c r="R766" s="27" t="str">
        <f t="shared" si="135"/>
        <v/>
      </c>
    </row>
    <row r="767" spans="7:18" x14ac:dyDescent="0.25">
      <c r="G767" s="29" t="str">
        <f t="shared" si="132"/>
        <v>E</v>
      </c>
      <c r="I767" s="24" t="str">
        <f t="shared" si="133"/>
        <v/>
      </c>
      <c r="M767" s="27" t="str">
        <f t="shared" si="136"/>
        <v/>
      </c>
      <c r="O767" s="27" t="str">
        <f t="shared" si="137"/>
        <v/>
      </c>
      <c r="P767" s="27" t="str">
        <f t="shared" si="134"/>
        <v/>
      </c>
      <c r="Q767" s="27" t="str">
        <f t="shared" si="131"/>
        <v/>
      </c>
      <c r="R767" s="27" t="str">
        <f t="shared" si="135"/>
        <v/>
      </c>
    </row>
    <row r="768" spans="7:18" x14ac:dyDescent="0.25">
      <c r="G768" s="29" t="str">
        <f t="shared" si="132"/>
        <v>E</v>
      </c>
      <c r="I768" s="24" t="str">
        <f t="shared" si="133"/>
        <v/>
      </c>
      <c r="M768" s="27" t="str">
        <f t="shared" si="136"/>
        <v/>
      </c>
      <c r="O768" s="27" t="str">
        <f t="shared" si="137"/>
        <v/>
      </c>
      <c r="P768" s="27" t="str">
        <f t="shared" si="134"/>
        <v/>
      </c>
      <c r="Q768" s="27" t="str">
        <f t="shared" si="131"/>
        <v/>
      </c>
      <c r="R768" s="27" t="str">
        <f t="shared" si="135"/>
        <v/>
      </c>
    </row>
    <row r="769" spans="7:18" x14ac:dyDescent="0.25">
      <c r="G769" s="29" t="str">
        <f t="shared" si="132"/>
        <v>E</v>
      </c>
      <c r="I769" s="24" t="str">
        <f t="shared" si="133"/>
        <v/>
      </c>
      <c r="M769" s="27" t="str">
        <f t="shared" si="136"/>
        <v/>
      </c>
      <c r="O769" s="27" t="str">
        <f t="shared" si="137"/>
        <v/>
      </c>
      <c r="P769" s="27" t="str">
        <f t="shared" si="134"/>
        <v/>
      </c>
      <c r="Q769" s="27" t="str">
        <f t="shared" si="131"/>
        <v/>
      </c>
      <c r="R769" s="27" t="str">
        <f t="shared" si="135"/>
        <v/>
      </c>
    </row>
    <row r="770" spans="7:18" x14ac:dyDescent="0.25">
      <c r="G770" s="29" t="str">
        <f t="shared" si="132"/>
        <v>E</v>
      </c>
      <c r="I770" s="24" t="str">
        <f t="shared" si="133"/>
        <v/>
      </c>
      <c r="M770" s="27" t="str">
        <f t="shared" si="136"/>
        <v/>
      </c>
      <c r="O770" s="27" t="str">
        <f t="shared" si="137"/>
        <v/>
      </c>
      <c r="P770" s="27" t="str">
        <f t="shared" si="134"/>
        <v/>
      </c>
      <c r="Q770" s="27" t="str">
        <f t="shared" si="131"/>
        <v/>
      </c>
      <c r="R770" s="27" t="str">
        <f t="shared" si="135"/>
        <v/>
      </c>
    </row>
    <row r="771" spans="7:18" x14ac:dyDescent="0.25">
      <c r="G771" s="29" t="str">
        <f t="shared" si="132"/>
        <v>E</v>
      </c>
      <c r="I771" s="24" t="str">
        <f t="shared" si="133"/>
        <v/>
      </c>
      <c r="M771" s="27" t="str">
        <f t="shared" si="136"/>
        <v/>
      </c>
      <c r="O771" s="27" t="str">
        <f t="shared" si="137"/>
        <v/>
      </c>
      <c r="P771" s="27" t="str">
        <f t="shared" si="134"/>
        <v/>
      </c>
      <c r="Q771" s="27" t="str">
        <f t="shared" ref="Q771:Q834" si="138">IF(P771="","",P771/500*12)</f>
        <v/>
      </c>
      <c r="R771" s="27" t="str">
        <f t="shared" si="135"/>
        <v/>
      </c>
    </row>
    <row r="772" spans="7:18" x14ac:dyDescent="0.25">
      <c r="G772" s="29" t="str">
        <f t="shared" si="132"/>
        <v>E</v>
      </c>
      <c r="I772" s="24" t="str">
        <f t="shared" si="133"/>
        <v/>
      </c>
      <c r="M772" s="27" t="str">
        <f t="shared" si="136"/>
        <v/>
      </c>
      <c r="O772" s="27" t="str">
        <f t="shared" si="137"/>
        <v/>
      </c>
      <c r="P772" s="27" t="str">
        <f t="shared" si="134"/>
        <v/>
      </c>
      <c r="Q772" s="27" t="str">
        <f t="shared" si="138"/>
        <v/>
      </c>
      <c r="R772" s="27" t="str">
        <f t="shared" si="135"/>
        <v/>
      </c>
    </row>
    <row r="773" spans="7:18" x14ac:dyDescent="0.25">
      <c r="G773" s="29" t="str">
        <f t="shared" ref="G773:G836" si="139">VLOOKUP(F773,$Y$4:$Z$15,2,TRUE)</f>
        <v>E</v>
      </c>
      <c r="I773" s="24" t="str">
        <f t="shared" si="133"/>
        <v/>
      </c>
      <c r="M773" s="27" t="str">
        <f t="shared" si="136"/>
        <v/>
      </c>
      <c r="O773" s="27" t="str">
        <f t="shared" si="137"/>
        <v/>
      </c>
      <c r="P773" s="27" t="str">
        <f t="shared" si="134"/>
        <v/>
      </c>
      <c r="Q773" s="27" t="str">
        <f t="shared" si="138"/>
        <v/>
      </c>
      <c r="R773" s="27" t="str">
        <f t="shared" si="135"/>
        <v/>
      </c>
    </row>
    <row r="774" spans="7:18" x14ac:dyDescent="0.25">
      <c r="G774" s="29" t="str">
        <f t="shared" si="139"/>
        <v>E</v>
      </c>
      <c r="I774" s="24" t="str">
        <f t="shared" si="133"/>
        <v/>
      </c>
      <c r="M774" s="27" t="str">
        <f t="shared" si="136"/>
        <v/>
      </c>
      <c r="O774" s="27" t="str">
        <f t="shared" si="137"/>
        <v/>
      </c>
      <c r="P774" s="27" t="str">
        <f t="shared" si="134"/>
        <v/>
      </c>
      <c r="Q774" s="27" t="str">
        <f t="shared" si="138"/>
        <v/>
      </c>
      <c r="R774" s="27" t="str">
        <f t="shared" si="135"/>
        <v/>
      </c>
    </row>
    <row r="775" spans="7:18" x14ac:dyDescent="0.25">
      <c r="G775" s="29" t="str">
        <f t="shared" si="139"/>
        <v>E</v>
      </c>
      <c r="I775" s="24" t="str">
        <f t="shared" si="133"/>
        <v/>
      </c>
      <c r="M775" s="27" t="str">
        <f t="shared" si="136"/>
        <v/>
      </c>
      <c r="O775" s="27" t="str">
        <f t="shared" si="137"/>
        <v/>
      </c>
      <c r="P775" s="27" t="str">
        <f t="shared" si="134"/>
        <v/>
      </c>
      <c r="Q775" s="27" t="str">
        <f t="shared" si="138"/>
        <v/>
      </c>
      <c r="R775" s="27" t="str">
        <f t="shared" si="135"/>
        <v/>
      </c>
    </row>
    <row r="776" spans="7:18" x14ac:dyDescent="0.25">
      <c r="G776" s="29" t="str">
        <f t="shared" si="139"/>
        <v>E</v>
      </c>
      <c r="I776" s="24" t="str">
        <f t="shared" si="133"/>
        <v/>
      </c>
      <c r="M776" s="27" t="str">
        <f t="shared" si="136"/>
        <v/>
      </c>
      <c r="O776" s="27" t="str">
        <f t="shared" si="137"/>
        <v/>
      </c>
      <c r="P776" s="27" t="str">
        <f t="shared" si="134"/>
        <v/>
      </c>
      <c r="Q776" s="27" t="str">
        <f t="shared" si="138"/>
        <v/>
      </c>
      <c r="R776" s="27" t="str">
        <f t="shared" si="135"/>
        <v/>
      </c>
    </row>
    <row r="777" spans="7:18" x14ac:dyDescent="0.25">
      <c r="G777" s="29" t="str">
        <f t="shared" si="139"/>
        <v>E</v>
      </c>
      <c r="I777" s="24" t="str">
        <f t="shared" si="133"/>
        <v/>
      </c>
      <c r="M777" s="27" t="str">
        <f t="shared" si="136"/>
        <v/>
      </c>
      <c r="O777" s="27" t="str">
        <f t="shared" si="137"/>
        <v/>
      </c>
      <c r="P777" s="27" t="str">
        <f t="shared" si="134"/>
        <v/>
      </c>
      <c r="Q777" s="27" t="str">
        <f t="shared" si="138"/>
        <v/>
      </c>
      <c r="R777" s="27" t="str">
        <f t="shared" si="135"/>
        <v/>
      </c>
    </row>
    <row r="778" spans="7:18" x14ac:dyDescent="0.25">
      <c r="G778" s="29" t="str">
        <f t="shared" si="139"/>
        <v>E</v>
      </c>
      <c r="I778" s="24" t="str">
        <f t="shared" si="133"/>
        <v/>
      </c>
      <c r="M778" s="27" t="str">
        <f t="shared" si="136"/>
        <v/>
      </c>
      <c r="O778" s="27" t="str">
        <f t="shared" si="137"/>
        <v/>
      </c>
      <c r="P778" s="27" t="str">
        <f t="shared" si="134"/>
        <v/>
      </c>
      <c r="Q778" s="27" t="str">
        <f t="shared" si="138"/>
        <v/>
      </c>
      <c r="R778" s="27" t="str">
        <f t="shared" si="135"/>
        <v/>
      </c>
    </row>
    <row r="779" spans="7:18" x14ac:dyDescent="0.25">
      <c r="G779" s="29" t="str">
        <f t="shared" si="139"/>
        <v>E</v>
      </c>
      <c r="I779" s="24" t="str">
        <f t="shared" si="133"/>
        <v/>
      </c>
      <c r="M779" s="27" t="str">
        <f t="shared" si="136"/>
        <v/>
      </c>
      <c r="O779" s="27" t="str">
        <f t="shared" si="137"/>
        <v/>
      </c>
      <c r="P779" s="27" t="str">
        <f t="shared" si="134"/>
        <v/>
      </c>
      <c r="Q779" s="27" t="str">
        <f t="shared" si="138"/>
        <v/>
      </c>
      <c r="R779" s="27" t="str">
        <f t="shared" si="135"/>
        <v/>
      </c>
    </row>
    <row r="780" spans="7:18" x14ac:dyDescent="0.25">
      <c r="G780" s="29" t="str">
        <f t="shared" si="139"/>
        <v>E</v>
      </c>
      <c r="I780" s="24" t="str">
        <f t="shared" si="133"/>
        <v/>
      </c>
      <c r="M780" s="27" t="str">
        <f t="shared" si="136"/>
        <v/>
      </c>
      <c r="O780" s="27" t="str">
        <f t="shared" si="137"/>
        <v/>
      </c>
      <c r="P780" s="27" t="str">
        <f t="shared" si="134"/>
        <v/>
      </c>
      <c r="Q780" s="27" t="str">
        <f t="shared" si="138"/>
        <v/>
      </c>
      <c r="R780" s="27" t="str">
        <f t="shared" si="135"/>
        <v/>
      </c>
    </row>
    <row r="781" spans="7:18" x14ac:dyDescent="0.25">
      <c r="G781" s="29" t="str">
        <f t="shared" si="139"/>
        <v>E</v>
      </c>
      <c r="I781" s="24" t="str">
        <f t="shared" si="133"/>
        <v/>
      </c>
      <c r="M781" s="27" t="str">
        <f t="shared" si="136"/>
        <v/>
      </c>
      <c r="O781" s="27" t="str">
        <f t="shared" si="137"/>
        <v/>
      </c>
      <c r="P781" s="27" t="str">
        <f t="shared" si="134"/>
        <v/>
      </c>
      <c r="Q781" s="27" t="str">
        <f t="shared" si="138"/>
        <v/>
      </c>
      <c r="R781" s="27" t="str">
        <f t="shared" si="135"/>
        <v/>
      </c>
    </row>
    <row r="782" spans="7:18" x14ac:dyDescent="0.25">
      <c r="G782" s="29" t="str">
        <f t="shared" si="139"/>
        <v>E</v>
      </c>
      <c r="I782" s="24" t="str">
        <f t="shared" si="133"/>
        <v/>
      </c>
      <c r="M782" s="27" t="str">
        <f t="shared" si="136"/>
        <v/>
      </c>
      <c r="O782" s="27" t="str">
        <f t="shared" si="137"/>
        <v/>
      </c>
      <c r="P782" s="27" t="str">
        <f t="shared" si="134"/>
        <v/>
      </c>
      <c r="Q782" s="27" t="str">
        <f t="shared" si="138"/>
        <v/>
      </c>
      <c r="R782" s="27" t="str">
        <f t="shared" si="135"/>
        <v/>
      </c>
    </row>
    <row r="783" spans="7:18" x14ac:dyDescent="0.25">
      <c r="G783" s="29" t="str">
        <f t="shared" si="139"/>
        <v>E</v>
      </c>
      <c r="I783" s="24" t="str">
        <f t="shared" si="133"/>
        <v/>
      </c>
      <c r="M783" s="27" t="str">
        <f t="shared" si="136"/>
        <v/>
      </c>
      <c r="O783" s="27" t="str">
        <f t="shared" si="137"/>
        <v/>
      </c>
      <c r="P783" s="27" t="str">
        <f t="shared" si="134"/>
        <v/>
      </c>
      <c r="Q783" s="27" t="str">
        <f t="shared" si="138"/>
        <v/>
      </c>
      <c r="R783" s="27" t="str">
        <f t="shared" si="135"/>
        <v/>
      </c>
    </row>
    <row r="784" spans="7:18" x14ac:dyDescent="0.25">
      <c r="G784" s="29" t="str">
        <f t="shared" si="139"/>
        <v>E</v>
      </c>
      <c r="I784" s="24" t="str">
        <f t="shared" si="133"/>
        <v/>
      </c>
      <c r="M784" s="27" t="str">
        <f t="shared" si="136"/>
        <v/>
      </c>
      <c r="O784" s="27" t="str">
        <f t="shared" si="137"/>
        <v/>
      </c>
      <c r="P784" s="27" t="str">
        <f t="shared" si="134"/>
        <v/>
      </c>
      <c r="Q784" s="27" t="str">
        <f t="shared" si="138"/>
        <v/>
      </c>
      <c r="R784" s="27" t="str">
        <f t="shared" si="135"/>
        <v/>
      </c>
    </row>
    <row r="785" spans="7:18" x14ac:dyDescent="0.25">
      <c r="G785" s="29" t="str">
        <f t="shared" si="139"/>
        <v>E</v>
      </c>
      <c r="I785" s="24" t="str">
        <f t="shared" si="133"/>
        <v/>
      </c>
      <c r="M785" s="27" t="str">
        <f t="shared" si="136"/>
        <v/>
      </c>
      <c r="O785" s="27" t="str">
        <f t="shared" si="137"/>
        <v/>
      </c>
      <c r="P785" s="27" t="str">
        <f t="shared" si="134"/>
        <v/>
      </c>
      <c r="Q785" s="27" t="str">
        <f t="shared" si="138"/>
        <v/>
      </c>
      <c r="R785" s="27" t="str">
        <f t="shared" si="135"/>
        <v/>
      </c>
    </row>
    <row r="786" spans="7:18" x14ac:dyDescent="0.25">
      <c r="G786" s="29" t="str">
        <f t="shared" si="139"/>
        <v>E</v>
      </c>
      <c r="I786" s="24" t="str">
        <f t="shared" si="133"/>
        <v/>
      </c>
      <c r="M786" s="27" t="str">
        <f t="shared" si="136"/>
        <v/>
      </c>
      <c r="O786" s="27" t="str">
        <f t="shared" si="137"/>
        <v/>
      </c>
      <c r="P786" s="27" t="str">
        <f t="shared" si="134"/>
        <v/>
      </c>
      <c r="Q786" s="27" t="str">
        <f t="shared" si="138"/>
        <v/>
      </c>
      <c r="R786" s="27" t="str">
        <f t="shared" si="135"/>
        <v/>
      </c>
    </row>
    <row r="787" spans="7:18" x14ac:dyDescent="0.25">
      <c r="G787" s="29" t="str">
        <f t="shared" si="139"/>
        <v>E</v>
      </c>
      <c r="I787" s="24" t="str">
        <f t="shared" si="133"/>
        <v/>
      </c>
      <c r="M787" s="27" t="str">
        <f t="shared" si="136"/>
        <v/>
      </c>
      <c r="O787" s="27" t="str">
        <f t="shared" si="137"/>
        <v/>
      </c>
      <c r="P787" s="27" t="str">
        <f t="shared" si="134"/>
        <v/>
      </c>
      <c r="Q787" s="27" t="str">
        <f t="shared" si="138"/>
        <v/>
      </c>
      <c r="R787" s="27" t="str">
        <f t="shared" si="135"/>
        <v/>
      </c>
    </row>
    <row r="788" spans="7:18" x14ac:dyDescent="0.25">
      <c r="G788" s="29" t="str">
        <f t="shared" si="139"/>
        <v>E</v>
      </c>
      <c r="I788" s="24" t="str">
        <f t="shared" si="133"/>
        <v/>
      </c>
      <c r="M788" s="27" t="str">
        <f t="shared" si="136"/>
        <v/>
      </c>
      <c r="O788" s="27" t="str">
        <f t="shared" si="137"/>
        <v/>
      </c>
      <c r="P788" s="27" t="str">
        <f t="shared" si="134"/>
        <v/>
      </c>
      <c r="Q788" s="27" t="str">
        <f t="shared" si="138"/>
        <v/>
      </c>
      <c r="R788" s="27" t="str">
        <f t="shared" si="135"/>
        <v/>
      </c>
    </row>
    <row r="789" spans="7:18" x14ac:dyDescent="0.25">
      <c r="G789" s="29" t="str">
        <f t="shared" si="139"/>
        <v>E</v>
      </c>
      <c r="I789" s="24" t="str">
        <f t="shared" si="133"/>
        <v/>
      </c>
      <c r="M789" s="27" t="str">
        <f t="shared" si="136"/>
        <v/>
      </c>
      <c r="O789" s="27" t="str">
        <f t="shared" si="137"/>
        <v/>
      </c>
      <c r="P789" s="27" t="str">
        <f t="shared" si="134"/>
        <v/>
      </c>
      <c r="Q789" s="27" t="str">
        <f t="shared" si="138"/>
        <v/>
      </c>
      <c r="R789" s="27" t="str">
        <f t="shared" si="135"/>
        <v/>
      </c>
    </row>
    <row r="790" spans="7:18" x14ac:dyDescent="0.25">
      <c r="G790" s="29" t="str">
        <f t="shared" si="139"/>
        <v>E</v>
      </c>
      <c r="I790" s="24" t="str">
        <f t="shared" si="133"/>
        <v/>
      </c>
      <c r="M790" s="27" t="str">
        <f t="shared" si="136"/>
        <v/>
      </c>
      <c r="O790" s="27" t="str">
        <f t="shared" si="137"/>
        <v/>
      </c>
      <c r="P790" s="27" t="str">
        <f t="shared" si="134"/>
        <v/>
      </c>
      <c r="Q790" s="27" t="str">
        <f t="shared" si="138"/>
        <v/>
      </c>
      <c r="R790" s="27" t="str">
        <f t="shared" si="135"/>
        <v/>
      </c>
    </row>
    <row r="791" spans="7:18" x14ac:dyDescent="0.25">
      <c r="G791" s="29" t="str">
        <f t="shared" si="139"/>
        <v>E</v>
      </c>
      <c r="I791" s="24" t="str">
        <f t="shared" si="133"/>
        <v/>
      </c>
      <c r="M791" s="27" t="str">
        <f t="shared" si="136"/>
        <v/>
      </c>
      <c r="O791" s="27" t="str">
        <f t="shared" si="137"/>
        <v/>
      </c>
      <c r="P791" s="27" t="str">
        <f t="shared" si="134"/>
        <v/>
      </c>
      <c r="Q791" s="27" t="str">
        <f t="shared" si="138"/>
        <v/>
      </c>
      <c r="R791" s="27" t="str">
        <f t="shared" si="135"/>
        <v/>
      </c>
    </row>
    <row r="792" spans="7:18" x14ac:dyDescent="0.25">
      <c r="G792" s="29" t="str">
        <f t="shared" si="139"/>
        <v>E</v>
      </c>
      <c r="I792" s="24" t="str">
        <f t="shared" ref="I792:I855" si="140">IF(H792="","",VLOOKUP(H792,$Y$4:$Z$15,2,TRUE))</f>
        <v/>
      </c>
      <c r="M792" s="27" t="str">
        <f t="shared" si="136"/>
        <v/>
      </c>
      <c r="O792" s="27" t="str">
        <f t="shared" si="137"/>
        <v/>
      </c>
      <c r="P792" s="27" t="str">
        <f t="shared" si="134"/>
        <v/>
      </c>
      <c r="Q792" s="27" t="str">
        <f t="shared" si="138"/>
        <v/>
      </c>
      <c r="R792" s="27" t="str">
        <f t="shared" si="135"/>
        <v/>
      </c>
    </row>
    <row r="793" spans="7:18" x14ac:dyDescent="0.25">
      <c r="G793" s="29" t="str">
        <f t="shared" si="139"/>
        <v>E</v>
      </c>
      <c r="I793" s="24" t="str">
        <f t="shared" si="140"/>
        <v/>
      </c>
      <c r="M793" s="27" t="str">
        <f t="shared" si="136"/>
        <v/>
      </c>
      <c r="O793" s="27" t="str">
        <f t="shared" si="137"/>
        <v/>
      </c>
      <c r="P793" s="27" t="str">
        <f t="shared" ref="P793:P856" si="141">IF(COUNT(F793:O793)=0,"",SUM(F793:O793))</f>
        <v/>
      </c>
      <c r="Q793" s="27" t="str">
        <f t="shared" si="138"/>
        <v/>
      </c>
      <c r="R793" s="27" t="str">
        <f t="shared" si="135"/>
        <v/>
      </c>
    </row>
    <row r="794" spans="7:18" x14ac:dyDescent="0.25">
      <c r="G794" s="29" t="str">
        <f t="shared" si="139"/>
        <v>E</v>
      </c>
      <c r="I794" s="24" t="str">
        <f t="shared" si="140"/>
        <v/>
      </c>
      <c r="M794" s="27" t="str">
        <f t="shared" si="136"/>
        <v/>
      </c>
      <c r="O794" s="27" t="str">
        <f t="shared" si="137"/>
        <v/>
      </c>
      <c r="P794" s="27" t="str">
        <f t="shared" si="141"/>
        <v/>
      </c>
      <c r="Q794" s="27" t="str">
        <f t="shared" si="138"/>
        <v/>
      </c>
      <c r="R794" s="27" t="str">
        <f t="shared" si="135"/>
        <v/>
      </c>
    </row>
    <row r="795" spans="7:18" x14ac:dyDescent="0.25">
      <c r="G795" s="29" t="str">
        <f t="shared" si="139"/>
        <v>E</v>
      </c>
      <c r="I795" s="24" t="str">
        <f t="shared" si="140"/>
        <v/>
      </c>
      <c r="M795" s="27" t="str">
        <f t="shared" si="136"/>
        <v/>
      </c>
      <c r="O795" s="27" t="str">
        <f t="shared" si="137"/>
        <v/>
      </c>
      <c r="P795" s="27" t="str">
        <f t="shared" si="141"/>
        <v/>
      </c>
      <c r="Q795" s="27" t="str">
        <f t="shared" si="138"/>
        <v/>
      </c>
      <c r="R795" s="27" t="str">
        <f t="shared" si="135"/>
        <v/>
      </c>
    </row>
    <row r="796" spans="7:18" x14ac:dyDescent="0.25">
      <c r="G796" s="29" t="str">
        <f t="shared" si="139"/>
        <v>E</v>
      </c>
      <c r="I796" s="24" t="str">
        <f t="shared" si="140"/>
        <v/>
      </c>
      <c r="M796" s="27" t="str">
        <f t="shared" si="136"/>
        <v/>
      </c>
      <c r="O796" s="27" t="str">
        <f t="shared" si="137"/>
        <v/>
      </c>
      <c r="P796" s="27" t="str">
        <f t="shared" si="141"/>
        <v/>
      </c>
      <c r="Q796" s="27" t="str">
        <f t="shared" si="138"/>
        <v/>
      </c>
      <c r="R796" s="27" t="str">
        <f t="shared" si="135"/>
        <v/>
      </c>
    </row>
    <row r="797" spans="7:18" x14ac:dyDescent="0.25">
      <c r="G797" s="29" t="str">
        <f t="shared" si="139"/>
        <v>E</v>
      </c>
      <c r="I797" s="24" t="str">
        <f t="shared" si="140"/>
        <v/>
      </c>
      <c r="M797" s="27" t="str">
        <f t="shared" si="136"/>
        <v/>
      </c>
      <c r="O797" s="27" t="str">
        <f t="shared" si="137"/>
        <v/>
      </c>
      <c r="P797" s="27" t="str">
        <f t="shared" si="141"/>
        <v/>
      </c>
      <c r="Q797" s="27" t="str">
        <f t="shared" si="138"/>
        <v/>
      </c>
      <c r="R797" s="27" t="str">
        <f t="shared" si="135"/>
        <v/>
      </c>
    </row>
    <row r="798" spans="7:18" x14ac:dyDescent="0.25">
      <c r="G798" s="29" t="str">
        <f t="shared" si="139"/>
        <v>E</v>
      </c>
      <c r="I798" s="24" t="str">
        <f t="shared" si="140"/>
        <v/>
      </c>
      <c r="M798" s="27" t="str">
        <f t="shared" si="136"/>
        <v/>
      </c>
      <c r="O798" s="27" t="str">
        <f t="shared" si="137"/>
        <v/>
      </c>
      <c r="P798" s="27" t="str">
        <f t="shared" si="141"/>
        <v/>
      </c>
      <c r="Q798" s="27" t="str">
        <f t="shared" si="138"/>
        <v/>
      </c>
      <c r="R798" s="27" t="str">
        <f t="shared" si="135"/>
        <v/>
      </c>
    </row>
    <row r="799" spans="7:18" x14ac:dyDescent="0.25">
      <c r="G799" s="29" t="str">
        <f t="shared" si="139"/>
        <v>E</v>
      </c>
      <c r="I799" s="24" t="str">
        <f t="shared" si="140"/>
        <v/>
      </c>
      <c r="M799" s="27" t="str">
        <f t="shared" si="136"/>
        <v/>
      </c>
      <c r="O799" s="27" t="str">
        <f t="shared" si="137"/>
        <v/>
      </c>
      <c r="P799" s="27" t="str">
        <f t="shared" si="141"/>
        <v/>
      </c>
      <c r="Q799" s="27" t="str">
        <f t="shared" si="138"/>
        <v/>
      </c>
      <c r="R799" s="27" t="str">
        <f t="shared" ref="R799:R862" si="142">IF(Q799="","",VLOOKUP(Q799,$W$4:$X$15,2,TRUE))</f>
        <v/>
      </c>
    </row>
    <row r="800" spans="7:18" x14ac:dyDescent="0.25">
      <c r="G800" s="29" t="str">
        <f t="shared" si="139"/>
        <v>E</v>
      </c>
      <c r="I800" s="24" t="str">
        <f t="shared" si="140"/>
        <v/>
      </c>
      <c r="M800" s="27" t="str">
        <f t="shared" si="136"/>
        <v/>
      </c>
      <c r="O800" s="27" t="str">
        <f t="shared" si="137"/>
        <v/>
      </c>
      <c r="P800" s="27" t="str">
        <f t="shared" si="141"/>
        <v/>
      </c>
      <c r="Q800" s="27" t="str">
        <f t="shared" si="138"/>
        <v/>
      </c>
      <c r="R800" s="27" t="str">
        <f t="shared" si="142"/>
        <v/>
      </c>
    </row>
    <row r="801" spans="7:18" x14ac:dyDescent="0.25">
      <c r="G801" s="29" t="str">
        <f t="shared" si="139"/>
        <v>E</v>
      </c>
      <c r="I801" s="24" t="str">
        <f t="shared" si="140"/>
        <v/>
      </c>
      <c r="M801" s="27" t="str">
        <f t="shared" si="136"/>
        <v/>
      </c>
      <c r="O801" s="27" t="str">
        <f t="shared" si="137"/>
        <v/>
      </c>
      <c r="P801" s="27" t="str">
        <f t="shared" si="141"/>
        <v/>
      </c>
      <c r="Q801" s="27" t="str">
        <f t="shared" si="138"/>
        <v/>
      </c>
      <c r="R801" s="27" t="str">
        <f t="shared" si="142"/>
        <v/>
      </c>
    </row>
    <row r="802" spans="7:18" x14ac:dyDescent="0.25">
      <c r="G802" s="29" t="str">
        <f t="shared" si="139"/>
        <v>E</v>
      </c>
      <c r="I802" s="24" t="str">
        <f t="shared" si="140"/>
        <v/>
      </c>
      <c r="M802" s="27" t="str">
        <f t="shared" si="136"/>
        <v/>
      </c>
      <c r="O802" s="27" t="str">
        <f t="shared" si="137"/>
        <v/>
      </c>
      <c r="P802" s="27" t="str">
        <f t="shared" si="141"/>
        <v/>
      </c>
      <c r="Q802" s="27" t="str">
        <f t="shared" si="138"/>
        <v/>
      </c>
      <c r="R802" s="27" t="str">
        <f t="shared" si="142"/>
        <v/>
      </c>
    </row>
    <row r="803" spans="7:18" x14ac:dyDescent="0.25">
      <c r="G803" s="29" t="str">
        <f t="shared" si="139"/>
        <v>E</v>
      </c>
      <c r="I803" s="24" t="str">
        <f t="shared" si="140"/>
        <v/>
      </c>
      <c r="M803" s="27" t="str">
        <f t="shared" si="136"/>
        <v/>
      </c>
      <c r="O803" s="27" t="str">
        <f t="shared" si="137"/>
        <v/>
      </c>
      <c r="P803" s="27" t="str">
        <f t="shared" si="141"/>
        <v/>
      </c>
      <c r="Q803" s="27" t="str">
        <f t="shared" si="138"/>
        <v/>
      </c>
      <c r="R803" s="27" t="str">
        <f t="shared" si="142"/>
        <v/>
      </c>
    </row>
    <row r="804" spans="7:18" x14ac:dyDescent="0.25">
      <c r="G804" s="29" t="str">
        <f t="shared" si="139"/>
        <v>E</v>
      </c>
      <c r="I804" s="24" t="str">
        <f t="shared" si="140"/>
        <v/>
      </c>
      <c r="M804" s="27" t="str">
        <f t="shared" si="136"/>
        <v/>
      </c>
      <c r="O804" s="27" t="str">
        <f t="shared" si="137"/>
        <v/>
      </c>
      <c r="P804" s="27" t="str">
        <f t="shared" si="141"/>
        <v/>
      </c>
      <c r="Q804" s="27" t="str">
        <f t="shared" si="138"/>
        <v/>
      </c>
      <c r="R804" s="27" t="str">
        <f t="shared" si="142"/>
        <v/>
      </c>
    </row>
    <row r="805" spans="7:18" x14ac:dyDescent="0.25">
      <c r="G805" s="29" t="str">
        <f t="shared" si="139"/>
        <v>E</v>
      </c>
      <c r="I805" s="24" t="str">
        <f t="shared" si="140"/>
        <v/>
      </c>
      <c r="M805" s="27" t="str">
        <f t="shared" si="136"/>
        <v/>
      </c>
      <c r="O805" s="27" t="str">
        <f t="shared" si="137"/>
        <v/>
      </c>
      <c r="P805" s="27" t="str">
        <f t="shared" si="141"/>
        <v/>
      </c>
      <c r="Q805" s="27" t="str">
        <f t="shared" si="138"/>
        <v/>
      </c>
      <c r="R805" s="27" t="str">
        <f t="shared" si="142"/>
        <v/>
      </c>
    </row>
    <row r="806" spans="7:18" x14ac:dyDescent="0.25">
      <c r="G806" s="29" t="str">
        <f t="shared" si="139"/>
        <v>E</v>
      </c>
      <c r="I806" s="24" t="str">
        <f t="shared" si="140"/>
        <v/>
      </c>
      <c r="M806" s="27" t="str">
        <f t="shared" si="136"/>
        <v/>
      </c>
      <c r="O806" s="27" t="str">
        <f t="shared" si="137"/>
        <v/>
      </c>
      <c r="P806" s="27" t="str">
        <f t="shared" si="141"/>
        <v/>
      </c>
      <c r="Q806" s="27" t="str">
        <f t="shared" si="138"/>
        <v/>
      </c>
      <c r="R806" s="27" t="str">
        <f t="shared" si="142"/>
        <v/>
      </c>
    </row>
    <row r="807" spans="7:18" x14ac:dyDescent="0.25">
      <c r="G807" s="29" t="str">
        <f t="shared" si="139"/>
        <v>E</v>
      </c>
      <c r="I807" s="24" t="str">
        <f t="shared" si="140"/>
        <v/>
      </c>
      <c r="M807" s="27" t="str">
        <f t="shared" si="136"/>
        <v/>
      </c>
      <c r="O807" s="27" t="str">
        <f t="shared" si="137"/>
        <v/>
      </c>
      <c r="P807" s="27" t="str">
        <f t="shared" si="141"/>
        <v/>
      </c>
      <c r="Q807" s="27" t="str">
        <f t="shared" si="138"/>
        <v/>
      </c>
      <c r="R807" s="27" t="str">
        <f t="shared" si="142"/>
        <v/>
      </c>
    </row>
    <row r="808" spans="7:18" x14ac:dyDescent="0.25">
      <c r="G808" s="29" t="str">
        <f t="shared" si="139"/>
        <v>E</v>
      </c>
      <c r="I808" s="24" t="str">
        <f t="shared" si="140"/>
        <v/>
      </c>
      <c r="M808" s="27" t="str">
        <f t="shared" si="136"/>
        <v/>
      </c>
      <c r="O808" s="27" t="str">
        <f t="shared" si="137"/>
        <v/>
      </c>
      <c r="P808" s="27" t="str">
        <f t="shared" si="141"/>
        <v/>
      </c>
      <c r="Q808" s="27" t="str">
        <f t="shared" si="138"/>
        <v/>
      </c>
      <c r="R808" s="27" t="str">
        <f t="shared" si="142"/>
        <v/>
      </c>
    </row>
    <row r="809" spans="7:18" x14ac:dyDescent="0.25">
      <c r="G809" s="29" t="str">
        <f t="shared" si="139"/>
        <v>E</v>
      </c>
      <c r="I809" s="24" t="str">
        <f t="shared" si="140"/>
        <v/>
      </c>
      <c r="M809" s="27" t="str">
        <f t="shared" si="136"/>
        <v/>
      </c>
      <c r="O809" s="27" t="str">
        <f t="shared" si="137"/>
        <v/>
      </c>
      <c r="P809" s="27" t="str">
        <f t="shared" si="141"/>
        <v/>
      </c>
      <c r="Q809" s="27" t="str">
        <f t="shared" si="138"/>
        <v/>
      </c>
      <c r="R809" s="27" t="str">
        <f t="shared" si="142"/>
        <v/>
      </c>
    </row>
    <row r="810" spans="7:18" x14ac:dyDescent="0.25">
      <c r="G810" s="29" t="str">
        <f t="shared" si="139"/>
        <v>E</v>
      </c>
      <c r="I810" s="24" t="str">
        <f t="shared" si="140"/>
        <v/>
      </c>
      <c r="M810" s="27" t="str">
        <f t="shared" si="136"/>
        <v/>
      </c>
      <c r="O810" s="27" t="str">
        <f t="shared" si="137"/>
        <v/>
      </c>
      <c r="P810" s="27" t="str">
        <f t="shared" si="141"/>
        <v/>
      </c>
      <c r="Q810" s="27" t="str">
        <f t="shared" si="138"/>
        <v/>
      </c>
      <c r="R810" s="27" t="str">
        <f t="shared" si="142"/>
        <v/>
      </c>
    </row>
    <row r="811" spans="7:18" x14ac:dyDescent="0.25">
      <c r="G811" s="29" t="str">
        <f t="shared" si="139"/>
        <v>E</v>
      </c>
      <c r="I811" s="24" t="str">
        <f t="shared" si="140"/>
        <v/>
      </c>
      <c r="M811" s="27" t="str">
        <f t="shared" si="136"/>
        <v/>
      </c>
      <c r="O811" s="27" t="str">
        <f t="shared" si="137"/>
        <v/>
      </c>
      <c r="P811" s="27" t="str">
        <f t="shared" si="141"/>
        <v/>
      </c>
      <c r="Q811" s="27" t="str">
        <f t="shared" si="138"/>
        <v/>
      </c>
      <c r="R811" s="27" t="str">
        <f t="shared" si="142"/>
        <v/>
      </c>
    </row>
    <row r="812" spans="7:18" x14ac:dyDescent="0.25">
      <c r="G812" s="29" t="str">
        <f t="shared" si="139"/>
        <v>E</v>
      </c>
      <c r="I812" s="24" t="str">
        <f t="shared" si="140"/>
        <v/>
      </c>
      <c r="M812" s="27" t="str">
        <f t="shared" si="136"/>
        <v/>
      </c>
      <c r="O812" s="27" t="str">
        <f t="shared" si="137"/>
        <v/>
      </c>
      <c r="P812" s="27" t="str">
        <f t="shared" si="141"/>
        <v/>
      </c>
      <c r="Q812" s="27" t="str">
        <f t="shared" si="138"/>
        <v/>
      </c>
      <c r="R812" s="27" t="str">
        <f t="shared" si="142"/>
        <v/>
      </c>
    </row>
    <row r="813" spans="7:18" x14ac:dyDescent="0.25">
      <c r="G813" s="29" t="str">
        <f t="shared" si="139"/>
        <v>E</v>
      </c>
      <c r="I813" s="24" t="str">
        <f t="shared" si="140"/>
        <v/>
      </c>
      <c r="M813" s="27" t="str">
        <f t="shared" si="136"/>
        <v/>
      </c>
      <c r="O813" s="27" t="str">
        <f t="shared" si="137"/>
        <v/>
      </c>
      <c r="P813" s="27" t="str">
        <f t="shared" si="141"/>
        <v/>
      </c>
      <c r="Q813" s="27" t="str">
        <f t="shared" si="138"/>
        <v/>
      </c>
      <c r="R813" s="27" t="str">
        <f t="shared" si="142"/>
        <v/>
      </c>
    </row>
    <row r="814" spans="7:18" x14ac:dyDescent="0.25">
      <c r="G814" s="29" t="str">
        <f t="shared" si="139"/>
        <v>E</v>
      </c>
      <c r="I814" s="24" t="str">
        <f t="shared" si="140"/>
        <v/>
      </c>
      <c r="M814" s="27" t="str">
        <f t="shared" si="136"/>
        <v/>
      </c>
      <c r="O814" s="27" t="str">
        <f t="shared" si="137"/>
        <v/>
      </c>
      <c r="P814" s="27" t="str">
        <f t="shared" si="141"/>
        <v/>
      </c>
      <c r="Q814" s="27" t="str">
        <f t="shared" si="138"/>
        <v/>
      </c>
      <c r="R814" s="27" t="str">
        <f t="shared" si="142"/>
        <v/>
      </c>
    </row>
    <row r="815" spans="7:18" x14ac:dyDescent="0.25">
      <c r="G815" s="29" t="str">
        <f t="shared" si="139"/>
        <v>E</v>
      </c>
      <c r="I815" s="24" t="str">
        <f t="shared" si="140"/>
        <v/>
      </c>
      <c r="M815" s="27" t="str">
        <f t="shared" si="136"/>
        <v/>
      </c>
      <c r="O815" s="27" t="str">
        <f t="shared" si="137"/>
        <v/>
      </c>
      <c r="P815" s="27" t="str">
        <f t="shared" si="141"/>
        <v/>
      </c>
      <c r="Q815" s="27" t="str">
        <f t="shared" si="138"/>
        <v/>
      </c>
      <c r="R815" s="27" t="str">
        <f t="shared" si="142"/>
        <v/>
      </c>
    </row>
    <row r="816" spans="7:18" x14ac:dyDescent="0.25">
      <c r="G816" s="29" t="str">
        <f t="shared" si="139"/>
        <v>E</v>
      </c>
      <c r="I816" s="24" t="str">
        <f t="shared" si="140"/>
        <v/>
      </c>
      <c r="M816" s="27" t="str">
        <f t="shared" si="136"/>
        <v/>
      </c>
      <c r="O816" s="27" t="str">
        <f t="shared" si="137"/>
        <v/>
      </c>
      <c r="P816" s="27" t="str">
        <f t="shared" si="141"/>
        <v/>
      </c>
      <c r="Q816" s="27" t="str">
        <f t="shared" si="138"/>
        <v/>
      </c>
      <c r="R816" s="27" t="str">
        <f t="shared" si="142"/>
        <v/>
      </c>
    </row>
    <row r="817" spans="7:18" x14ac:dyDescent="0.25">
      <c r="G817" s="29" t="str">
        <f t="shared" si="139"/>
        <v>E</v>
      </c>
      <c r="I817" s="24" t="str">
        <f t="shared" si="140"/>
        <v/>
      </c>
      <c r="M817" s="27" t="str">
        <f t="shared" si="136"/>
        <v/>
      </c>
      <c r="O817" s="27" t="str">
        <f t="shared" si="137"/>
        <v/>
      </c>
      <c r="P817" s="27" t="str">
        <f t="shared" si="141"/>
        <v/>
      </c>
      <c r="Q817" s="27" t="str">
        <f t="shared" si="138"/>
        <v/>
      </c>
      <c r="R817" s="27" t="str">
        <f t="shared" si="142"/>
        <v/>
      </c>
    </row>
    <row r="818" spans="7:18" x14ac:dyDescent="0.25">
      <c r="G818" s="29" t="str">
        <f t="shared" si="139"/>
        <v>E</v>
      </c>
      <c r="I818" s="24" t="str">
        <f t="shared" si="140"/>
        <v/>
      </c>
      <c r="M818" s="27" t="str">
        <f t="shared" si="136"/>
        <v/>
      </c>
      <c r="O818" s="27" t="str">
        <f t="shared" si="137"/>
        <v/>
      </c>
      <c r="P818" s="27" t="str">
        <f t="shared" si="141"/>
        <v/>
      </c>
      <c r="Q818" s="27" t="str">
        <f t="shared" si="138"/>
        <v/>
      </c>
      <c r="R818" s="27" t="str">
        <f t="shared" si="142"/>
        <v/>
      </c>
    </row>
    <row r="819" spans="7:18" x14ac:dyDescent="0.25">
      <c r="G819" s="29" t="str">
        <f t="shared" si="139"/>
        <v>E</v>
      </c>
      <c r="I819" s="24" t="str">
        <f t="shared" si="140"/>
        <v/>
      </c>
      <c r="M819" s="27" t="str">
        <f t="shared" si="136"/>
        <v/>
      </c>
      <c r="O819" s="27" t="str">
        <f t="shared" si="137"/>
        <v/>
      </c>
      <c r="P819" s="27" t="str">
        <f t="shared" si="141"/>
        <v/>
      </c>
      <c r="Q819" s="27" t="str">
        <f t="shared" si="138"/>
        <v/>
      </c>
      <c r="R819" s="27" t="str">
        <f t="shared" si="142"/>
        <v/>
      </c>
    </row>
    <row r="820" spans="7:18" x14ac:dyDescent="0.25">
      <c r="G820" s="29" t="str">
        <f t="shared" si="139"/>
        <v>E</v>
      </c>
      <c r="I820" s="24" t="str">
        <f t="shared" si="140"/>
        <v/>
      </c>
      <c r="M820" s="27" t="str">
        <f t="shared" si="136"/>
        <v/>
      </c>
      <c r="O820" s="27" t="str">
        <f t="shared" si="137"/>
        <v/>
      </c>
      <c r="P820" s="27" t="str">
        <f t="shared" si="141"/>
        <v/>
      </c>
      <c r="Q820" s="27" t="str">
        <f t="shared" si="138"/>
        <v/>
      </c>
      <c r="R820" s="27" t="str">
        <f t="shared" si="142"/>
        <v/>
      </c>
    </row>
    <row r="821" spans="7:18" x14ac:dyDescent="0.25">
      <c r="G821" s="29" t="str">
        <f t="shared" si="139"/>
        <v>E</v>
      </c>
      <c r="I821" s="24" t="str">
        <f t="shared" si="140"/>
        <v/>
      </c>
      <c r="M821" s="27" t="str">
        <f t="shared" si="136"/>
        <v/>
      </c>
      <c r="O821" s="27" t="str">
        <f t="shared" si="137"/>
        <v/>
      </c>
      <c r="P821" s="27" t="str">
        <f t="shared" si="141"/>
        <v/>
      </c>
      <c r="Q821" s="27" t="str">
        <f t="shared" si="138"/>
        <v/>
      </c>
      <c r="R821" s="27" t="str">
        <f t="shared" si="142"/>
        <v/>
      </c>
    </row>
    <row r="822" spans="7:18" x14ac:dyDescent="0.25">
      <c r="G822" s="29" t="str">
        <f t="shared" si="139"/>
        <v>E</v>
      </c>
      <c r="I822" s="24" t="str">
        <f t="shared" si="140"/>
        <v/>
      </c>
      <c r="M822" s="27" t="str">
        <f t="shared" si="136"/>
        <v/>
      </c>
      <c r="O822" s="27" t="str">
        <f t="shared" si="137"/>
        <v/>
      </c>
      <c r="P822" s="27" t="str">
        <f t="shared" si="141"/>
        <v/>
      </c>
      <c r="Q822" s="27" t="str">
        <f t="shared" si="138"/>
        <v/>
      </c>
      <c r="R822" s="27" t="str">
        <f t="shared" si="142"/>
        <v/>
      </c>
    </row>
    <row r="823" spans="7:18" x14ac:dyDescent="0.25">
      <c r="G823" s="29" t="str">
        <f t="shared" si="139"/>
        <v>E</v>
      </c>
      <c r="I823" s="24" t="str">
        <f t="shared" si="140"/>
        <v/>
      </c>
      <c r="M823" s="27" t="str">
        <f t="shared" si="136"/>
        <v/>
      </c>
      <c r="O823" s="27" t="str">
        <f t="shared" si="137"/>
        <v/>
      </c>
      <c r="P823" s="27" t="str">
        <f t="shared" si="141"/>
        <v/>
      </c>
      <c r="Q823" s="27" t="str">
        <f t="shared" si="138"/>
        <v/>
      </c>
      <c r="R823" s="27" t="str">
        <f t="shared" si="142"/>
        <v/>
      </c>
    </row>
    <row r="824" spans="7:18" x14ac:dyDescent="0.25">
      <c r="G824" s="29" t="str">
        <f t="shared" si="139"/>
        <v>E</v>
      </c>
      <c r="I824" s="24" t="str">
        <f t="shared" si="140"/>
        <v/>
      </c>
      <c r="M824" s="27" t="str">
        <f t="shared" si="136"/>
        <v/>
      </c>
      <c r="O824" s="27" t="str">
        <f t="shared" si="137"/>
        <v/>
      </c>
      <c r="P824" s="27" t="str">
        <f t="shared" si="141"/>
        <v/>
      </c>
      <c r="Q824" s="27" t="str">
        <f t="shared" si="138"/>
        <v/>
      </c>
      <c r="R824" s="27" t="str">
        <f t="shared" si="142"/>
        <v/>
      </c>
    </row>
    <row r="825" spans="7:18" x14ac:dyDescent="0.25">
      <c r="G825" s="29" t="str">
        <f t="shared" si="139"/>
        <v>E</v>
      </c>
      <c r="I825" s="24" t="str">
        <f t="shared" si="140"/>
        <v/>
      </c>
      <c r="M825" s="27" t="str">
        <f t="shared" si="136"/>
        <v/>
      </c>
      <c r="O825" s="27" t="str">
        <f t="shared" si="137"/>
        <v/>
      </c>
      <c r="P825" s="27" t="str">
        <f t="shared" si="141"/>
        <v/>
      </c>
      <c r="Q825" s="27" t="str">
        <f t="shared" si="138"/>
        <v/>
      </c>
      <c r="R825" s="27" t="str">
        <f t="shared" si="142"/>
        <v/>
      </c>
    </row>
    <row r="826" spans="7:18" x14ac:dyDescent="0.25">
      <c r="G826" s="29" t="str">
        <f t="shared" si="139"/>
        <v>E</v>
      </c>
      <c r="I826" s="24" t="str">
        <f t="shared" si="140"/>
        <v/>
      </c>
      <c r="M826" s="27" t="str">
        <f t="shared" ref="M826:M889" si="143">IF(L826="","",VLOOKUP(L826,$Y$4:$Z$15,2,TRUE))</f>
        <v/>
      </c>
      <c r="O826" s="27" t="str">
        <f t="shared" ref="O826:O889" si="144">IF(N826="","",VLOOKUP(N826,$Y$4:$Z$15,2,TRUE))</f>
        <v/>
      </c>
      <c r="P826" s="27" t="str">
        <f t="shared" si="141"/>
        <v/>
      </c>
      <c r="Q826" s="27" t="str">
        <f t="shared" si="138"/>
        <v/>
      </c>
      <c r="R826" s="27" t="str">
        <f t="shared" si="142"/>
        <v/>
      </c>
    </row>
    <row r="827" spans="7:18" x14ac:dyDescent="0.25">
      <c r="G827" s="29" t="str">
        <f t="shared" si="139"/>
        <v>E</v>
      </c>
      <c r="I827" s="24" t="str">
        <f t="shared" si="140"/>
        <v/>
      </c>
      <c r="M827" s="27" t="str">
        <f t="shared" si="143"/>
        <v/>
      </c>
      <c r="O827" s="27" t="str">
        <f t="shared" si="144"/>
        <v/>
      </c>
      <c r="P827" s="27" t="str">
        <f t="shared" si="141"/>
        <v/>
      </c>
      <c r="Q827" s="27" t="str">
        <f t="shared" si="138"/>
        <v/>
      </c>
      <c r="R827" s="27" t="str">
        <f t="shared" si="142"/>
        <v/>
      </c>
    </row>
    <row r="828" spans="7:18" x14ac:dyDescent="0.25">
      <c r="G828" s="29" t="str">
        <f t="shared" si="139"/>
        <v>E</v>
      </c>
      <c r="I828" s="24" t="str">
        <f t="shared" si="140"/>
        <v/>
      </c>
      <c r="M828" s="27" t="str">
        <f t="shared" si="143"/>
        <v/>
      </c>
      <c r="O828" s="27" t="str">
        <f t="shared" si="144"/>
        <v/>
      </c>
      <c r="P828" s="27" t="str">
        <f t="shared" si="141"/>
        <v/>
      </c>
      <c r="Q828" s="27" t="str">
        <f t="shared" si="138"/>
        <v/>
      </c>
      <c r="R828" s="27" t="str">
        <f t="shared" si="142"/>
        <v/>
      </c>
    </row>
    <row r="829" spans="7:18" x14ac:dyDescent="0.25">
      <c r="G829" s="29" t="str">
        <f t="shared" si="139"/>
        <v>E</v>
      </c>
      <c r="I829" s="24" t="str">
        <f t="shared" si="140"/>
        <v/>
      </c>
      <c r="M829" s="27" t="str">
        <f t="shared" si="143"/>
        <v/>
      </c>
      <c r="O829" s="27" t="str">
        <f t="shared" si="144"/>
        <v/>
      </c>
      <c r="P829" s="27" t="str">
        <f t="shared" si="141"/>
        <v/>
      </c>
      <c r="Q829" s="27" t="str">
        <f t="shared" si="138"/>
        <v/>
      </c>
      <c r="R829" s="27" t="str">
        <f t="shared" si="142"/>
        <v/>
      </c>
    </row>
    <row r="830" spans="7:18" x14ac:dyDescent="0.25">
      <c r="G830" s="29" t="str">
        <f t="shared" si="139"/>
        <v>E</v>
      </c>
      <c r="I830" s="24" t="str">
        <f t="shared" si="140"/>
        <v/>
      </c>
      <c r="M830" s="27" t="str">
        <f t="shared" si="143"/>
        <v/>
      </c>
      <c r="O830" s="27" t="str">
        <f t="shared" si="144"/>
        <v/>
      </c>
      <c r="P830" s="27" t="str">
        <f t="shared" si="141"/>
        <v/>
      </c>
      <c r="Q830" s="27" t="str">
        <f t="shared" si="138"/>
        <v/>
      </c>
      <c r="R830" s="27" t="str">
        <f t="shared" si="142"/>
        <v/>
      </c>
    </row>
    <row r="831" spans="7:18" x14ac:dyDescent="0.25">
      <c r="G831" s="29" t="str">
        <f t="shared" si="139"/>
        <v>E</v>
      </c>
      <c r="I831" s="24" t="str">
        <f t="shared" si="140"/>
        <v/>
      </c>
      <c r="M831" s="27" t="str">
        <f t="shared" si="143"/>
        <v/>
      </c>
      <c r="O831" s="27" t="str">
        <f t="shared" si="144"/>
        <v/>
      </c>
      <c r="P831" s="27" t="str">
        <f t="shared" si="141"/>
        <v/>
      </c>
      <c r="Q831" s="27" t="str">
        <f t="shared" si="138"/>
        <v/>
      </c>
      <c r="R831" s="27" t="str">
        <f t="shared" si="142"/>
        <v/>
      </c>
    </row>
    <row r="832" spans="7:18" x14ac:dyDescent="0.25">
      <c r="G832" s="29" t="str">
        <f t="shared" si="139"/>
        <v>E</v>
      </c>
      <c r="I832" s="24" t="str">
        <f t="shared" si="140"/>
        <v/>
      </c>
      <c r="M832" s="27" t="str">
        <f t="shared" si="143"/>
        <v/>
      </c>
      <c r="O832" s="27" t="str">
        <f t="shared" si="144"/>
        <v/>
      </c>
      <c r="P832" s="27" t="str">
        <f t="shared" si="141"/>
        <v/>
      </c>
      <c r="Q832" s="27" t="str">
        <f t="shared" si="138"/>
        <v/>
      </c>
      <c r="R832" s="27" t="str">
        <f t="shared" si="142"/>
        <v/>
      </c>
    </row>
    <row r="833" spans="7:18" x14ac:dyDescent="0.25">
      <c r="G833" s="29" t="str">
        <f t="shared" si="139"/>
        <v>E</v>
      </c>
      <c r="I833" s="24" t="str">
        <f t="shared" si="140"/>
        <v/>
      </c>
      <c r="M833" s="27" t="str">
        <f t="shared" si="143"/>
        <v/>
      </c>
      <c r="O833" s="27" t="str">
        <f t="shared" si="144"/>
        <v/>
      </c>
      <c r="P833" s="27" t="str">
        <f t="shared" si="141"/>
        <v/>
      </c>
      <c r="Q833" s="27" t="str">
        <f t="shared" si="138"/>
        <v/>
      </c>
      <c r="R833" s="27" t="str">
        <f t="shared" si="142"/>
        <v/>
      </c>
    </row>
    <row r="834" spans="7:18" x14ac:dyDescent="0.25">
      <c r="G834" s="29" t="str">
        <f t="shared" si="139"/>
        <v>E</v>
      </c>
      <c r="I834" s="24" t="str">
        <f t="shared" si="140"/>
        <v/>
      </c>
      <c r="M834" s="27" t="str">
        <f t="shared" si="143"/>
        <v/>
      </c>
      <c r="O834" s="27" t="str">
        <f t="shared" si="144"/>
        <v/>
      </c>
      <c r="P834" s="27" t="str">
        <f t="shared" si="141"/>
        <v/>
      </c>
      <c r="Q834" s="27" t="str">
        <f t="shared" si="138"/>
        <v/>
      </c>
      <c r="R834" s="27" t="str">
        <f t="shared" si="142"/>
        <v/>
      </c>
    </row>
    <row r="835" spans="7:18" x14ac:dyDescent="0.25">
      <c r="G835" s="29" t="str">
        <f t="shared" si="139"/>
        <v>E</v>
      </c>
      <c r="I835" s="24" t="str">
        <f t="shared" si="140"/>
        <v/>
      </c>
      <c r="M835" s="27" t="str">
        <f t="shared" si="143"/>
        <v/>
      </c>
      <c r="O835" s="27" t="str">
        <f t="shared" si="144"/>
        <v/>
      </c>
      <c r="P835" s="27" t="str">
        <f t="shared" si="141"/>
        <v/>
      </c>
      <c r="Q835" s="27" t="str">
        <f t="shared" ref="Q835:Q898" si="145">IF(P835="","",P835/500*12)</f>
        <v/>
      </c>
      <c r="R835" s="27" t="str">
        <f t="shared" si="142"/>
        <v/>
      </c>
    </row>
    <row r="836" spans="7:18" x14ac:dyDescent="0.25">
      <c r="G836" s="29" t="str">
        <f t="shared" si="139"/>
        <v>E</v>
      </c>
      <c r="I836" s="24" t="str">
        <f t="shared" si="140"/>
        <v/>
      </c>
      <c r="M836" s="27" t="str">
        <f t="shared" si="143"/>
        <v/>
      </c>
      <c r="O836" s="27" t="str">
        <f t="shared" si="144"/>
        <v/>
      </c>
      <c r="P836" s="27" t="str">
        <f t="shared" si="141"/>
        <v/>
      </c>
      <c r="Q836" s="27" t="str">
        <f t="shared" si="145"/>
        <v/>
      </c>
      <c r="R836" s="27" t="str">
        <f t="shared" si="142"/>
        <v/>
      </c>
    </row>
    <row r="837" spans="7:18" x14ac:dyDescent="0.25">
      <c r="G837" s="29" t="str">
        <f t="shared" ref="G837:G900" si="146">VLOOKUP(F837,$Y$4:$Z$15,2,TRUE)</f>
        <v>E</v>
      </c>
      <c r="I837" s="24" t="str">
        <f t="shared" si="140"/>
        <v/>
      </c>
      <c r="M837" s="27" t="str">
        <f t="shared" si="143"/>
        <v/>
      </c>
      <c r="O837" s="27" t="str">
        <f t="shared" si="144"/>
        <v/>
      </c>
      <c r="P837" s="27" t="str">
        <f t="shared" si="141"/>
        <v/>
      </c>
      <c r="Q837" s="27" t="str">
        <f t="shared" si="145"/>
        <v/>
      </c>
      <c r="R837" s="27" t="str">
        <f t="shared" si="142"/>
        <v/>
      </c>
    </row>
    <row r="838" spans="7:18" x14ac:dyDescent="0.25">
      <c r="G838" s="29" t="str">
        <f t="shared" si="146"/>
        <v>E</v>
      </c>
      <c r="I838" s="24" t="str">
        <f t="shared" si="140"/>
        <v/>
      </c>
      <c r="M838" s="27" t="str">
        <f t="shared" si="143"/>
        <v/>
      </c>
      <c r="O838" s="27" t="str">
        <f t="shared" si="144"/>
        <v/>
      </c>
      <c r="P838" s="27" t="str">
        <f t="shared" si="141"/>
        <v/>
      </c>
      <c r="Q838" s="27" t="str">
        <f t="shared" si="145"/>
        <v/>
      </c>
      <c r="R838" s="27" t="str">
        <f t="shared" si="142"/>
        <v/>
      </c>
    </row>
    <row r="839" spans="7:18" x14ac:dyDescent="0.25">
      <c r="G839" s="29" t="str">
        <f t="shared" si="146"/>
        <v>E</v>
      </c>
      <c r="I839" s="24" t="str">
        <f t="shared" si="140"/>
        <v/>
      </c>
      <c r="M839" s="27" t="str">
        <f t="shared" si="143"/>
        <v/>
      </c>
      <c r="O839" s="27" t="str">
        <f t="shared" si="144"/>
        <v/>
      </c>
      <c r="P839" s="27" t="str">
        <f t="shared" si="141"/>
        <v/>
      </c>
      <c r="Q839" s="27" t="str">
        <f t="shared" si="145"/>
        <v/>
      </c>
      <c r="R839" s="27" t="str">
        <f t="shared" si="142"/>
        <v/>
      </c>
    </row>
    <row r="840" spans="7:18" x14ac:dyDescent="0.25">
      <c r="G840" s="29" t="str">
        <f t="shared" si="146"/>
        <v>E</v>
      </c>
      <c r="I840" s="24" t="str">
        <f t="shared" si="140"/>
        <v/>
      </c>
      <c r="M840" s="27" t="str">
        <f t="shared" si="143"/>
        <v/>
      </c>
      <c r="O840" s="27" t="str">
        <f t="shared" si="144"/>
        <v/>
      </c>
      <c r="P840" s="27" t="str">
        <f t="shared" si="141"/>
        <v/>
      </c>
      <c r="Q840" s="27" t="str">
        <f t="shared" si="145"/>
        <v/>
      </c>
      <c r="R840" s="27" t="str">
        <f t="shared" si="142"/>
        <v/>
      </c>
    </row>
    <row r="841" spans="7:18" x14ac:dyDescent="0.25">
      <c r="G841" s="29" t="str">
        <f t="shared" si="146"/>
        <v>E</v>
      </c>
      <c r="I841" s="24" t="str">
        <f t="shared" si="140"/>
        <v/>
      </c>
      <c r="M841" s="27" t="str">
        <f t="shared" si="143"/>
        <v/>
      </c>
      <c r="O841" s="27" t="str">
        <f t="shared" si="144"/>
        <v/>
      </c>
      <c r="P841" s="27" t="str">
        <f t="shared" si="141"/>
        <v/>
      </c>
      <c r="Q841" s="27" t="str">
        <f t="shared" si="145"/>
        <v/>
      </c>
      <c r="R841" s="27" t="str">
        <f t="shared" si="142"/>
        <v/>
      </c>
    </row>
    <row r="842" spans="7:18" x14ac:dyDescent="0.25">
      <c r="G842" s="29" t="str">
        <f t="shared" si="146"/>
        <v>E</v>
      </c>
      <c r="I842" s="24" t="str">
        <f t="shared" si="140"/>
        <v/>
      </c>
      <c r="M842" s="27" t="str">
        <f t="shared" si="143"/>
        <v/>
      </c>
      <c r="O842" s="27" t="str">
        <f t="shared" si="144"/>
        <v/>
      </c>
      <c r="P842" s="27" t="str">
        <f t="shared" si="141"/>
        <v/>
      </c>
      <c r="Q842" s="27" t="str">
        <f t="shared" si="145"/>
        <v/>
      </c>
      <c r="R842" s="27" t="str">
        <f t="shared" si="142"/>
        <v/>
      </c>
    </row>
    <row r="843" spans="7:18" x14ac:dyDescent="0.25">
      <c r="G843" s="29" t="str">
        <f t="shared" si="146"/>
        <v>E</v>
      </c>
      <c r="I843" s="24" t="str">
        <f t="shared" si="140"/>
        <v/>
      </c>
      <c r="M843" s="27" t="str">
        <f t="shared" si="143"/>
        <v/>
      </c>
      <c r="O843" s="27" t="str">
        <f t="shared" si="144"/>
        <v/>
      </c>
      <c r="P843" s="27" t="str">
        <f t="shared" si="141"/>
        <v/>
      </c>
      <c r="Q843" s="27" t="str">
        <f t="shared" si="145"/>
        <v/>
      </c>
      <c r="R843" s="27" t="str">
        <f t="shared" si="142"/>
        <v/>
      </c>
    </row>
    <row r="844" spans="7:18" x14ac:dyDescent="0.25">
      <c r="G844" s="29" t="str">
        <f t="shared" si="146"/>
        <v>E</v>
      </c>
      <c r="I844" s="24" t="str">
        <f t="shared" si="140"/>
        <v/>
      </c>
      <c r="M844" s="27" t="str">
        <f t="shared" si="143"/>
        <v/>
      </c>
      <c r="O844" s="27" t="str">
        <f t="shared" si="144"/>
        <v/>
      </c>
      <c r="P844" s="27" t="str">
        <f t="shared" si="141"/>
        <v/>
      </c>
      <c r="Q844" s="27" t="str">
        <f t="shared" si="145"/>
        <v/>
      </c>
      <c r="R844" s="27" t="str">
        <f t="shared" si="142"/>
        <v/>
      </c>
    </row>
    <row r="845" spans="7:18" x14ac:dyDescent="0.25">
      <c r="G845" s="29" t="str">
        <f t="shared" si="146"/>
        <v>E</v>
      </c>
      <c r="I845" s="24" t="str">
        <f t="shared" si="140"/>
        <v/>
      </c>
      <c r="M845" s="27" t="str">
        <f t="shared" si="143"/>
        <v/>
      </c>
      <c r="O845" s="27" t="str">
        <f t="shared" si="144"/>
        <v/>
      </c>
      <c r="P845" s="27" t="str">
        <f t="shared" si="141"/>
        <v/>
      </c>
      <c r="Q845" s="27" t="str">
        <f t="shared" si="145"/>
        <v/>
      </c>
      <c r="R845" s="27" t="str">
        <f t="shared" si="142"/>
        <v/>
      </c>
    </row>
    <row r="846" spans="7:18" x14ac:dyDescent="0.25">
      <c r="G846" s="29" t="str">
        <f t="shared" si="146"/>
        <v>E</v>
      </c>
      <c r="I846" s="24" t="str">
        <f t="shared" si="140"/>
        <v/>
      </c>
      <c r="M846" s="27" t="str">
        <f t="shared" si="143"/>
        <v/>
      </c>
      <c r="O846" s="27" t="str">
        <f t="shared" si="144"/>
        <v/>
      </c>
      <c r="P846" s="27" t="str">
        <f t="shared" si="141"/>
        <v/>
      </c>
      <c r="Q846" s="27" t="str">
        <f t="shared" si="145"/>
        <v/>
      </c>
      <c r="R846" s="27" t="str">
        <f t="shared" si="142"/>
        <v/>
      </c>
    </row>
    <row r="847" spans="7:18" x14ac:dyDescent="0.25">
      <c r="G847" s="29" t="str">
        <f t="shared" si="146"/>
        <v>E</v>
      </c>
      <c r="I847" s="24" t="str">
        <f t="shared" si="140"/>
        <v/>
      </c>
      <c r="M847" s="27" t="str">
        <f t="shared" si="143"/>
        <v/>
      </c>
      <c r="O847" s="27" t="str">
        <f t="shared" si="144"/>
        <v/>
      </c>
      <c r="P847" s="27" t="str">
        <f t="shared" si="141"/>
        <v/>
      </c>
      <c r="Q847" s="27" t="str">
        <f t="shared" si="145"/>
        <v/>
      </c>
      <c r="R847" s="27" t="str">
        <f t="shared" si="142"/>
        <v/>
      </c>
    </row>
    <row r="848" spans="7:18" x14ac:dyDescent="0.25">
      <c r="G848" s="29" t="str">
        <f t="shared" si="146"/>
        <v>E</v>
      </c>
      <c r="I848" s="24" t="str">
        <f t="shared" si="140"/>
        <v/>
      </c>
      <c r="M848" s="27" t="str">
        <f t="shared" si="143"/>
        <v/>
      </c>
      <c r="O848" s="27" t="str">
        <f t="shared" si="144"/>
        <v/>
      </c>
      <c r="P848" s="27" t="str">
        <f t="shared" si="141"/>
        <v/>
      </c>
      <c r="Q848" s="27" t="str">
        <f t="shared" si="145"/>
        <v/>
      </c>
      <c r="R848" s="27" t="str">
        <f t="shared" si="142"/>
        <v/>
      </c>
    </row>
    <row r="849" spans="7:18" x14ac:dyDescent="0.25">
      <c r="G849" s="29" t="str">
        <f t="shared" si="146"/>
        <v>E</v>
      </c>
      <c r="I849" s="24" t="str">
        <f t="shared" si="140"/>
        <v/>
      </c>
      <c r="M849" s="27" t="str">
        <f t="shared" si="143"/>
        <v/>
      </c>
      <c r="O849" s="27" t="str">
        <f t="shared" si="144"/>
        <v/>
      </c>
      <c r="P849" s="27" t="str">
        <f t="shared" si="141"/>
        <v/>
      </c>
      <c r="Q849" s="27" t="str">
        <f t="shared" si="145"/>
        <v/>
      </c>
      <c r="R849" s="27" t="str">
        <f t="shared" si="142"/>
        <v/>
      </c>
    </row>
    <row r="850" spans="7:18" x14ac:dyDescent="0.25">
      <c r="G850" s="29" t="str">
        <f t="shared" si="146"/>
        <v>E</v>
      </c>
      <c r="I850" s="24" t="str">
        <f t="shared" si="140"/>
        <v/>
      </c>
      <c r="M850" s="27" t="str">
        <f t="shared" si="143"/>
        <v/>
      </c>
      <c r="O850" s="27" t="str">
        <f t="shared" si="144"/>
        <v/>
      </c>
      <c r="P850" s="27" t="str">
        <f t="shared" si="141"/>
        <v/>
      </c>
      <c r="Q850" s="27" t="str">
        <f t="shared" si="145"/>
        <v/>
      </c>
      <c r="R850" s="27" t="str">
        <f t="shared" si="142"/>
        <v/>
      </c>
    </row>
    <row r="851" spans="7:18" x14ac:dyDescent="0.25">
      <c r="G851" s="29" t="str">
        <f t="shared" si="146"/>
        <v>E</v>
      </c>
      <c r="I851" s="24" t="str">
        <f t="shared" si="140"/>
        <v/>
      </c>
      <c r="M851" s="27" t="str">
        <f t="shared" si="143"/>
        <v/>
      </c>
      <c r="O851" s="27" t="str">
        <f t="shared" si="144"/>
        <v/>
      </c>
      <c r="P851" s="27" t="str">
        <f t="shared" si="141"/>
        <v/>
      </c>
      <c r="Q851" s="27" t="str">
        <f t="shared" si="145"/>
        <v/>
      </c>
      <c r="R851" s="27" t="str">
        <f t="shared" si="142"/>
        <v/>
      </c>
    </row>
    <row r="852" spans="7:18" x14ac:dyDescent="0.25">
      <c r="G852" s="29" t="str">
        <f t="shared" si="146"/>
        <v>E</v>
      </c>
      <c r="I852" s="24" t="str">
        <f t="shared" si="140"/>
        <v/>
      </c>
      <c r="M852" s="27" t="str">
        <f t="shared" si="143"/>
        <v/>
      </c>
      <c r="O852" s="27" t="str">
        <f t="shared" si="144"/>
        <v/>
      </c>
      <c r="P852" s="27" t="str">
        <f t="shared" si="141"/>
        <v/>
      </c>
      <c r="Q852" s="27" t="str">
        <f t="shared" si="145"/>
        <v/>
      </c>
      <c r="R852" s="27" t="str">
        <f t="shared" si="142"/>
        <v/>
      </c>
    </row>
    <row r="853" spans="7:18" x14ac:dyDescent="0.25">
      <c r="G853" s="29" t="str">
        <f t="shared" si="146"/>
        <v>E</v>
      </c>
      <c r="I853" s="24" t="str">
        <f t="shared" si="140"/>
        <v/>
      </c>
      <c r="M853" s="27" t="str">
        <f t="shared" si="143"/>
        <v/>
      </c>
      <c r="O853" s="27" t="str">
        <f t="shared" si="144"/>
        <v/>
      </c>
      <c r="P853" s="27" t="str">
        <f t="shared" si="141"/>
        <v/>
      </c>
      <c r="Q853" s="27" t="str">
        <f t="shared" si="145"/>
        <v/>
      </c>
      <c r="R853" s="27" t="str">
        <f t="shared" si="142"/>
        <v/>
      </c>
    </row>
    <row r="854" spans="7:18" x14ac:dyDescent="0.25">
      <c r="G854" s="29" t="str">
        <f t="shared" si="146"/>
        <v>E</v>
      </c>
      <c r="I854" s="24" t="str">
        <f t="shared" si="140"/>
        <v/>
      </c>
      <c r="M854" s="27" t="str">
        <f t="shared" si="143"/>
        <v/>
      </c>
      <c r="O854" s="27" t="str">
        <f t="shared" si="144"/>
        <v/>
      </c>
      <c r="P854" s="27" t="str">
        <f t="shared" si="141"/>
        <v/>
      </c>
      <c r="Q854" s="27" t="str">
        <f t="shared" si="145"/>
        <v/>
      </c>
      <c r="R854" s="27" t="str">
        <f t="shared" si="142"/>
        <v/>
      </c>
    </row>
    <row r="855" spans="7:18" x14ac:dyDescent="0.25">
      <c r="G855" s="29" t="str">
        <f t="shared" si="146"/>
        <v>E</v>
      </c>
      <c r="I855" s="24" t="str">
        <f t="shared" si="140"/>
        <v/>
      </c>
      <c r="M855" s="27" t="str">
        <f t="shared" si="143"/>
        <v/>
      </c>
      <c r="O855" s="27" t="str">
        <f t="shared" si="144"/>
        <v/>
      </c>
      <c r="P855" s="27" t="str">
        <f t="shared" si="141"/>
        <v/>
      </c>
      <c r="Q855" s="27" t="str">
        <f t="shared" si="145"/>
        <v/>
      </c>
      <c r="R855" s="27" t="str">
        <f t="shared" si="142"/>
        <v/>
      </c>
    </row>
    <row r="856" spans="7:18" x14ac:dyDescent="0.25">
      <c r="G856" s="29" t="str">
        <f t="shared" si="146"/>
        <v>E</v>
      </c>
      <c r="I856" s="24" t="str">
        <f t="shared" ref="I856:I919" si="147">IF(H856="","",VLOOKUP(H856,$Y$4:$Z$15,2,TRUE))</f>
        <v/>
      </c>
      <c r="M856" s="27" t="str">
        <f t="shared" si="143"/>
        <v/>
      </c>
      <c r="O856" s="27" t="str">
        <f t="shared" si="144"/>
        <v/>
      </c>
      <c r="P856" s="27" t="str">
        <f t="shared" si="141"/>
        <v/>
      </c>
      <c r="Q856" s="27" t="str">
        <f t="shared" si="145"/>
        <v/>
      </c>
      <c r="R856" s="27" t="str">
        <f t="shared" si="142"/>
        <v/>
      </c>
    </row>
    <row r="857" spans="7:18" x14ac:dyDescent="0.25">
      <c r="G857" s="29" t="str">
        <f t="shared" si="146"/>
        <v>E</v>
      </c>
      <c r="I857" s="24" t="str">
        <f t="shared" si="147"/>
        <v/>
      </c>
      <c r="M857" s="27" t="str">
        <f t="shared" si="143"/>
        <v/>
      </c>
      <c r="O857" s="27" t="str">
        <f t="shared" si="144"/>
        <v/>
      </c>
      <c r="P857" s="27" t="str">
        <f t="shared" ref="P857:P920" si="148">IF(COUNT(F857:O857)=0,"",SUM(F857:O857))</f>
        <v/>
      </c>
      <c r="Q857" s="27" t="str">
        <f t="shared" si="145"/>
        <v/>
      </c>
      <c r="R857" s="27" t="str">
        <f t="shared" si="142"/>
        <v/>
      </c>
    </row>
    <row r="858" spans="7:18" x14ac:dyDescent="0.25">
      <c r="G858" s="29" t="str">
        <f t="shared" si="146"/>
        <v>E</v>
      </c>
      <c r="I858" s="24" t="str">
        <f t="shared" si="147"/>
        <v/>
      </c>
      <c r="M858" s="27" t="str">
        <f t="shared" si="143"/>
        <v/>
      </c>
      <c r="O858" s="27" t="str">
        <f t="shared" si="144"/>
        <v/>
      </c>
      <c r="P858" s="27" t="str">
        <f t="shared" si="148"/>
        <v/>
      </c>
      <c r="Q858" s="27" t="str">
        <f t="shared" si="145"/>
        <v/>
      </c>
      <c r="R858" s="27" t="str">
        <f t="shared" si="142"/>
        <v/>
      </c>
    </row>
    <row r="859" spans="7:18" x14ac:dyDescent="0.25">
      <c r="G859" s="29" t="str">
        <f t="shared" si="146"/>
        <v>E</v>
      </c>
      <c r="I859" s="24" t="str">
        <f t="shared" si="147"/>
        <v/>
      </c>
      <c r="M859" s="27" t="str">
        <f t="shared" si="143"/>
        <v/>
      </c>
      <c r="O859" s="27" t="str">
        <f t="shared" si="144"/>
        <v/>
      </c>
      <c r="P859" s="27" t="str">
        <f t="shared" si="148"/>
        <v/>
      </c>
      <c r="Q859" s="27" t="str">
        <f t="shared" si="145"/>
        <v/>
      </c>
      <c r="R859" s="27" t="str">
        <f t="shared" si="142"/>
        <v/>
      </c>
    </row>
    <row r="860" spans="7:18" x14ac:dyDescent="0.25">
      <c r="G860" s="29" t="str">
        <f t="shared" si="146"/>
        <v>E</v>
      </c>
      <c r="I860" s="24" t="str">
        <f t="shared" si="147"/>
        <v/>
      </c>
      <c r="M860" s="27" t="str">
        <f t="shared" si="143"/>
        <v/>
      </c>
      <c r="O860" s="27" t="str">
        <f t="shared" si="144"/>
        <v/>
      </c>
      <c r="P860" s="27" t="str">
        <f t="shared" si="148"/>
        <v/>
      </c>
      <c r="Q860" s="27" t="str">
        <f t="shared" si="145"/>
        <v/>
      </c>
      <c r="R860" s="27" t="str">
        <f t="shared" si="142"/>
        <v/>
      </c>
    </row>
    <row r="861" spans="7:18" x14ac:dyDescent="0.25">
      <c r="G861" s="29" t="str">
        <f t="shared" si="146"/>
        <v>E</v>
      </c>
      <c r="I861" s="24" t="str">
        <f t="shared" si="147"/>
        <v/>
      </c>
      <c r="M861" s="27" t="str">
        <f t="shared" si="143"/>
        <v/>
      </c>
      <c r="O861" s="27" t="str">
        <f t="shared" si="144"/>
        <v/>
      </c>
      <c r="P861" s="27" t="str">
        <f t="shared" si="148"/>
        <v/>
      </c>
      <c r="Q861" s="27" t="str">
        <f t="shared" si="145"/>
        <v/>
      </c>
      <c r="R861" s="27" t="str">
        <f t="shared" si="142"/>
        <v/>
      </c>
    </row>
    <row r="862" spans="7:18" x14ac:dyDescent="0.25">
      <c r="G862" s="29" t="str">
        <f t="shared" si="146"/>
        <v>E</v>
      </c>
      <c r="I862" s="24" t="str">
        <f t="shared" si="147"/>
        <v/>
      </c>
      <c r="M862" s="27" t="str">
        <f t="shared" si="143"/>
        <v/>
      </c>
      <c r="O862" s="27" t="str">
        <f t="shared" si="144"/>
        <v/>
      </c>
      <c r="P862" s="27" t="str">
        <f t="shared" si="148"/>
        <v/>
      </c>
      <c r="Q862" s="27" t="str">
        <f t="shared" si="145"/>
        <v/>
      </c>
      <c r="R862" s="27" t="str">
        <f t="shared" si="142"/>
        <v/>
      </c>
    </row>
    <row r="863" spans="7:18" x14ac:dyDescent="0.25">
      <c r="G863" s="29" t="str">
        <f t="shared" si="146"/>
        <v>E</v>
      </c>
      <c r="I863" s="24" t="str">
        <f t="shared" si="147"/>
        <v/>
      </c>
      <c r="M863" s="27" t="str">
        <f t="shared" si="143"/>
        <v/>
      </c>
      <c r="O863" s="27" t="str">
        <f t="shared" si="144"/>
        <v/>
      </c>
      <c r="P863" s="27" t="str">
        <f t="shared" si="148"/>
        <v/>
      </c>
      <c r="Q863" s="27" t="str">
        <f t="shared" si="145"/>
        <v/>
      </c>
      <c r="R863" s="27" t="str">
        <f t="shared" ref="R863:R926" si="149">IF(Q863="","",VLOOKUP(Q863,$W$4:$X$15,2,TRUE))</f>
        <v/>
      </c>
    </row>
    <row r="864" spans="7:18" x14ac:dyDescent="0.25">
      <c r="G864" s="29" t="str">
        <f t="shared" si="146"/>
        <v>E</v>
      </c>
      <c r="I864" s="24" t="str">
        <f t="shared" si="147"/>
        <v/>
      </c>
      <c r="M864" s="27" t="str">
        <f t="shared" si="143"/>
        <v/>
      </c>
      <c r="O864" s="27" t="str">
        <f t="shared" si="144"/>
        <v/>
      </c>
      <c r="P864" s="27" t="str">
        <f t="shared" si="148"/>
        <v/>
      </c>
      <c r="Q864" s="27" t="str">
        <f t="shared" si="145"/>
        <v/>
      </c>
      <c r="R864" s="27" t="str">
        <f t="shared" si="149"/>
        <v/>
      </c>
    </row>
    <row r="865" spans="7:18" x14ac:dyDescent="0.25">
      <c r="G865" s="29" t="str">
        <f t="shared" si="146"/>
        <v>E</v>
      </c>
      <c r="I865" s="24" t="str">
        <f t="shared" si="147"/>
        <v/>
      </c>
      <c r="M865" s="27" t="str">
        <f t="shared" si="143"/>
        <v/>
      </c>
      <c r="O865" s="27" t="str">
        <f t="shared" si="144"/>
        <v/>
      </c>
      <c r="P865" s="27" t="str">
        <f t="shared" si="148"/>
        <v/>
      </c>
      <c r="Q865" s="27" t="str">
        <f t="shared" si="145"/>
        <v/>
      </c>
      <c r="R865" s="27" t="str">
        <f t="shared" si="149"/>
        <v/>
      </c>
    </row>
    <row r="866" spans="7:18" x14ac:dyDescent="0.25">
      <c r="G866" s="29" t="str">
        <f t="shared" si="146"/>
        <v>E</v>
      </c>
      <c r="I866" s="24" t="str">
        <f t="shared" si="147"/>
        <v/>
      </c>
      <c r="M866" s="27" t="str">
        <f t="shared" si="143"/>
        <v/>
      </c>
      <c r="O866" s="27" t="str">
        <f t="shared" si="144"/>
        <v/>
      </c>
      <c r="P866" s="27" t="str">
        <f t="shared" si="148"/>
        <v/>
      </c>
      <c r="Q866" s="27" t="str">
        <f t="shared" si="145"/>
        <v/>
      </c>
      <c r="R866" s="27" t="str">
        <f t="shared" si="149"/>
        <v/>
      </c>
    </row>
    <row r="867" spans="7:18" x14ac:dyDescent="0.25">
      <c r="G867" s="29" t="str">
        <f t="shared" si="146"/>
        <v>E</v>
      </c>
      <c r="I867" s="24" t="str">
        <f t="shared" si="147"/>
        <v/>
      </c>
      <c r="M867" s="27" t="str">
        <f t="shared" si="143"/>
        <v/>
      </c>
      <c r="O867" s="27" t="str">
        <f t="shared" si="144"/>
        <v/>
      </c>
      <c r="P867" s="27" t="str">
        <f t="shared" si="148"/>
        <v/>
      </c>
      <c r="Q867" s="27" t="str">
        <f t="shared" si="145"/>
        <v/>
      </c>
      <c r="R867" s="27" t="str">
        <f t="shared" si="149"/>
        <v/>
      </c>
    </row>
    <row r="868" spans="7:18" x14ac:dyDescent="0.25">
      <c r="G868" s="29" t="str">
        <f t="shared" si="146"/>
        <v>E</v>
      </c>
      <c r="I868" s="24" t="str">
        <f t="shared" si="147"/>
        <v/>
      </c>
      <c r="M868" s="27" t="str">
        <f t="shared" si="143"/>
        <v/>
      </c>
      <c r="O868" s="27" t="str">
        <f t="shared" si="144"/>
        <v/>
      </c>
      <c r="P868" s="27" t="str">
        <f t="shared" si="148"/>
        <v/>
      </c>
      <c r="Q868" s="27" t="str">
        <f t="shared" si="145"/>
        <v/>
      </c>
      <c r="R868" s="27" t="str">
        <f t="shared" si="149"/>
        <v/>
      </c>
    </row>
    <row r="869" spans="7:18" x14ac:dyDescent="0.25">
      <c r="G869" s="29" t="str">
        <f t="shared" si="146"/>
        <v>E</v>
      </c>
      <c r="I869" s="24" t="str">
        <f t="shared" si="147"/>
        <v/>
      </c>
      <c r="M869" s="27" t="str">
        <f t="shared" si="143"/>
        <v/>
      </c>
      <c r="O869" s="27" t="str">
        <f t="shared" si="144"/>
        <v/>
      </c>
      <c r="P869" s="27" t="str">
        <f t="shared" si="148"/>
        <v/>
      </c>
      <c r="Q869" s="27" t="str">
        <f t="shared" si="145"/>
        <v/>
      </c>
      <c r="R869" s="27" t="str">
        <f t="shared" si="149"/>
        <v/>
      </c>
    </row>
    <row r="870" spans="7:18" x14ac:dyDescent="0.25">
      <c r="G870" s="29" t="str">
        <f t="shared" si="146"/>
        <v>E</v>
      </c>
      <c r="I870" s="24" t="str">
        <f t="shared" si="147"/>
        <v/>
      </c>
      <c r="M870" s="27" t="str">
        <f t="shared" si="143"/>
        <v/>
      </c>
      <c r="O870" s="27" t="str">
        <f t="shared" si="144"/>
        <v/>
      </c>
      <c r="P870" s="27" t="str">
        <f t="shared" si="148"/>
        <v/>
      </c>
      <c r="Q870" s="27" t="str">
        <f t="shared" si="145"/>
        <v/>
      </c>
      <c r="R870" s="27" t="str">
        <f t="shared" si="149"/>
        <v/>
      </c>
    </row>
    <row r="871" spans="7:18" x14ac:dyDescent="0.25">
      <c r="G871" s="29" t="str">
        <f t="shared" si="146"/>
        <v>E</v>
      </c>
      <c r="I871" s="24" t="str">
        <f t="shared" si="147"/>
        <v/>
      </c>
      <c r="M871" s="27" t="str">
        <f t="shared" si="143"/>
        <v/>
      </c>
      <c r="O871" s="27" t="str">
        <f t="shared" si="144"/>
        <v/>
      </c>
      <c r="P871" s="27" t="str">
        <f t="shared" si="148"/>
        <v/>
      </c>
      <c r="Q871" s="27" t="str">
        <f t="shared" si="145"/>
        <v/>
      </c>
      <c r="R871" s="27" t="str">
        <f t="shared" si="149"/>
        <v/>
      </c>
    </row>
    <row r="872" spans="7:18" x14ac:dyDescent="0.25">
      <c r="G872" s="29" t="str">
        <f t="shared" si="146"/>
        <v>E</v>
      </c>
      <c r="I872" s="24" t="str">
        <f t="shared" si="147"/>
        <v/>
      </c>
      <c r="M872" s="27" t="str">
        <f t="shared" si="143"/>
        <v/>
      </c>
      <c r="O872" s="27" t="str">
        <f t="shared" si="144"/>
        <v/>
      </c>
      <c r="P872" s="27" t="str">
        <f t="shared" si="148"/>
        <v/>
      </c>
      <c r="Q872" s="27" t="str">
        <f t="shared" si="145"/>
        <v/>
      </c>
      <c r="R872" s="27" t="str">
        <f t="shared" si="149"/>
        <v/>
      </c>
    </row>
    <row r="873" spans="7:18" x14ac:dyDescent="0.25">
      <c r="G873" s="29" t="str">
        <f t="shared" si="146"/>
        <v>E</v>
      </c>
      <c r="I873" s="24" t="str">
        <f t="shared" si="147"/>
        <v/>
      </c>
      <c r="M873" s="27" t="str">
        <f t="shared" si="143"/>
        <v/>
      </c>
      <c r="O873" s="27" t="str">
        <f t="shared" si="144"/>
        <v/>
      </c>
      <c r="P873" s="27" t="str">
        <f t="shared" si="148"/>
        <v/>
      </c>
      <c r="Q873" s="27" t="str">
        <f t="shared" si="145"/>
        <v/>
      </c>
      <c r="R873" s="27" t="str">
        <f t="shared" si="149"/>
        <v/>
      </c>
    </row>
    <row r="874" spans="7:18" x14ac:dyDescent="0.25">
      <c r="G874" s="29" t="str">
        <f t="shared" si="146"/>
        <v>E</v>
      </c>
      <c r="I874" s="24" t="str">
        <f t="shared" si="147"/>
        <v/>
      </c>
      <c r="M874" s="27" t="str">
        <f t="shared" si="143"/>
        <v/>
      </c>
      <c r="O874" s="27" t="str">
        <f t="shared" si="144"/>
        <v/>
      </c>
      <c r="P874" s="27" t="str">
        <f t="shared" si="148"/>
        <v/>
      </c>
      <c r="Q874" s="27" t="str">
        <f t="shared" si="145"/>
        <v/>
      </c>
      <c r="R874" s="27" t="str">
        <f t="shared" si="149"/>
        <v/>
      </c>
    </row>
    <row r="875" spans="7:18" x14ac:dyDescent="0.25">
      <c r="G875" s="29" t="str">
        <f t="shared" si="146"/>
        <v>E</v>
      </c>
      <c r="I875" s="24" t="str">
        <f t="shared" si="147"/>
        <v/>
      </c>
      <c r="M875" s="27" t="str">
        <f t="shared" si="143"/>
        <v/>
      </c>
      <c r="O875" s="27" t="str">
        <f t="shared" si="144"/>
        <v/>
      </c>
      <c r="P875" s="27" t="str">
        <f t="shared" si="148"/>
        <v/>
      </c>
      <c r="Q875" s="27" t="str">
        <f t="shared" si="145"/>
        <v/>
      </c>
      <c r="R875" s="27" t="str">
        <f t="shared" si="149"/>
        <v/>
      </c>
    </row>
    <row r="876" spans="7:18" x14ac:dyDescent="0.25">
      <c r="G876" s="29" t="str">
        <f t="shared" si="146"/>
        <v>E</v>
      </c>
      <c r="I876" s="24" t="str">
        <f t="shared" si="147"/>
        <v/>
      </c>
      <c r="M876" s="27" t="str">
        <f t="shared" si="143"/>
        <v/>
      </c>
      <c r="O876" s="27" t="str">
        <f t="shared" si="144"/>
        <v/>
      </c>
      <c r="P876" s="27" t="str">
        <f t="shared" si="148"/>
        <v/>
      </c>
      <c r="Q876" s="27" t="str">
        <f t="shared" si="145"/>
        <v/>
      </c>
      <c r="R876" s="27" t="str">
        <f t="shared" si="149"/>
        <v/>
      </c>
    </row>
    <row r="877" spans="7:18" x14ac:dyDescent="0.25">
      <c r="G877" s="29" t="str">
        <f t="shared" si="146"/>
        <v>E</v>
      </c>
      <c r="I877" s="24" t="str">
        <f t="shared" si="147"/>
        <v/>
      </c>
      <c r="M877" s="27" t="str">
        <f t="shared" si="143"/>
        <v/>
      </c>
      <c r="O877" s="27" t="str">
        <f t="shared" si="144"/>
        <v/>
      </c>
      <c r="P877" s="27" t="str">
        <f t="shared" si="148"/>
        <v/>
      </c>
      <c r="Q877" s="27" t="str">
        <f t="shared" si="145"/>
        <v/>
      </c>
      <c r="R877" s="27" t="str">
        <f t="shared" si="149"/>
        <v/>
      </c>
    </row>
    <row r="878" spans="7:18" x14ac:dyDescent="0.25">
      <c r="G878" s="29" t="str">
        <f t="shared" si="146"/>
        <v>E</v>
      </c>
      <c r="I878" s="24" t="str">
        <f t="shared" si="147"/>
        <v/>
      </c>
      <c r="M878" s="27" t="str">
        <f t="shared" si="143"/>
        <v/>
      </c>
      <c r="O878" s="27" t="str">
        <f t="shared" si="144"/>
        <v/>
      </c>
      <c r="P878" s="27" t="str">
        <f t="shared" si="148"/>
        <v/>
      </c>
      <c r="Q878" s="27" t="str">
        <f t="shared" si="145"/>
        <v/>
      </c>
      <c r="R878" s="27" t="str">
        <f t="shared" si="149"/>
        <v/>
      </c>
    </row>
    <row r="879" spans="7:18" x14ac:dyDescent="0.25">
      <c r="G879" s="29" t="str">
        <f t="shared" si="146"/>
        <v>E</v>
      </c>
      <c r="I879" s="24" t="str">
        <f t="shared" si="147"/>
        <v/>
      </c>
      <c r="M879" s="27" t="str">
        <f t="shared" si="143"/>
        <v/>
      </c>
      <c r="O879" s="27" t="str">
        <f t="shared" si="144"/>
        <v/>
      </c>
      <c r="P879" s="27" t="str">
        <f t="shared" si="148"/>
        <v/>
      </c>
      <c r="Q879" s="27" t="str">
        <f t="shared" si="145"/>
        <v/>
      </c>
      <c r="R879" s="27" t="str">
        <f t="shared" si="149"/>
        <v/>
      </c>
    </row>
    <row r="880" spans="7:18" x14ac:dyDescent="0.25">
      <c r="G880" s="29" t="str">
        <f t="shared" si="146"/>
        <v>E</v>
      </c>
      <c r="I880" s="24" t="str">
        <f t="shared" si="147"/>
        <v/>
      </c>
      <c r="M880" s="27" t="str">
        <f t="shared" si="143"/>
        <v/>
      </c>
      <c r="O880" s="27" t="str">
        <f t="shared" si="144"/>
        <v/>
      </c>
      <c r="P880" s="27" t="str">
        <f t="shared" si="148"/>
        <v/>
      </c>
      <c r="Q880" s="27" t="str">
        <f t="shared" si="145"/>
        <v/>
      </c>
      <c r="R880" s="27" t="str">
        <f t="shared" si="149"/>
        <v/>
      </c>
    </row>
    <row r="881" spans="7:18" x14ac:dyDescent="0.25">
      <c r="G881" s="29" t="str">
        <f t="shared" si="146"/>
        <v>E</v>
      </c>
      <c r="I881" s="24" t="str">
        <f t="shared" si="147"/>
        <v/>
      </c>
      <c r="M881" s="27" t="str">
        <f t="shared" si="143"/>
        <v/>
      </c>
      <c r="O881" s="27" t="str">
        <f t="shared" si="144"/>
        <v/>
      </c>
      <c r="P881" s="27" t="str">
        <f t="shared" si="148"/>
        <v/>
      </c>
      <c r="Q881" s="27" t="str">
        <f t="shared" si="145"/>
        <v/>
      </c>
      <c r="R881" s="27" t="str">
        <f t="shared" si="149"/>
        <v/>
      </c>
    </row>
    <row r="882" spans="7:18" x14ac:dyDescent="0.25">
      <c r="G882" s="29" t="str">
        <f t="shared" si="146"/>
        <v>E</v>
      </c>
      <c r="I882" s="24" t="str">
        <f t="shared" si="147"/>
        <v/>
      </c>
      <c r="M882" s="27" t="str">
        <f t="shared" si="143"/>
        <v/>
      </c>
      <c r="O882" s="27" t="str">
        <f t="shared" si="144"/>
        <v/>
      </c>
      <c r="P882" s="27" t="str">
        <f t="shared" si="148"/>
        <v/>
      </c>
      <c r="Q882" s="27" t="str">
        <f t="shared" si="145"/>
        <v/>
      </c>
      <c r="R882" s="27" t="str">
        <f t="shared" si="149"/>
        <v/>
      </c>
    </row>
    <row r="883" spans="7:18" x14ac:dyDescent="0.25">
      <c r="G883" s="29" t="str">
        <f t="shared" si="146"/>
        <v>E</v>
      </c>
      <c r="I883" s="24" t="str">
        <f t="shared" si="147"/>
        <v/>
      </c>
      <c r="M883" s="27" t="str">
        <f t="shared" si="143"/>
        <v/>
      </c>
      <c r="O883" s="27" t="str">
        <f t="shared" si="144"/>
        <v/>
      </c>
      <c r="P883" s="27" t="str">
        <f t="shared" si="148"/>
        <v/>
      </c>
      <c r="Q883" s="27" t="str">
        <f t="shared" si="145"/>
        <v/>
      </c>
      <c r="R883" s="27" t="str">
        <f t="shared" si="149"/>
        <v/>
      </c>
    </row>
    <row r="884" spans="7:18" x14ac:dyDescent="0.25">
      <c r="G884" s="29" t="str">
        <f t="shared" si="146"/>
        <v>E</v>
      </c>
      <c r="I884" s="24" t="str">
        <f t="shared" si="147"/>
        <v/>
      </c>
      <c r="M884" s="27" t="str">
        <f t="shared" si="143"/>
        <v/>
      </c>
      <c r="O884" s="27" t="str">
        <f t="shared" si="144"/>
        <v/>
      </c>
      <c r="P884" s="27" t="str">
        <f t="shared" si="148"/>
        <v/>
      </c>
      <c r="Q884" s="27" t="str">
        <f t="shared" si="145"/>
        <v/>
      </c>
      <c r="R884" s="27" t="str">
        <f t="shared" si="149"/>
        <v/>
      </c>
    </row>
    <row r="885" spans="7:18" x14ac:dyDescent="0.25">
      <c r="G885" s="29" t="str">
        <f t="shared" si="146"/>
        <v>E</v>
      </c>
      <c r="I885" s="24" t="str">
        <f t="shared" si="147"/>
        <v/>
      </c>
      <c r="M885" s="27" t="str">
        <f t="shared" si="143"/>
        <v/>
      </c>
      <c r="O885" s="27" t="str">
        <f t="shared" si="144"/>
        <v/>
      </c>
      <c r="P885" s="27" t="str">
        <f t="shared" si="148"/>
        <v/>
      </c>
      <c r="Q885" s="27" t="str">
        <f t="shared" si="145"/>
        <v/>
      </c>
      <c r="R885" s="27" t="str">
        <f t="shared" si="149"/>
        <v/>
      </c>
    </row>
    <row r="886" spans="7:18" x14ac:dyDescent="0.25">
      <c r="G886" s="29" t="str">
        <f t="shared" si="146"/>
        <v>E</v>
      </c>
      <c r="I886" s="24" t="str">
        <f t="shared" si="147"/>
        <v/>
      </c>
      <c r="M886" s="27" t="str">
        <f t="shared" si="143"/>
        <v/>
      </c>
      <c r="O886" s="27" t="str">
        <f t="shared" si="144"/>
        <v/>
      </c>
      <c r="P886" s="27" t="str">
        <f t="shared" si="148"/>
        <v/>
      </c>
      <c r="Q886" s="27" t="str">
        <f t="shared" si="145"/>
        <v/>
      </c>
      <c r="R886" s="27" t="str">
        <f t="shared" si="149"/>
        <v/>
      </c>
    </row>
    <row r="887" spans="7:18" x14ac:dyDescent="0.25">
      <c r="G887" s="29" t="str">
        <f t="shared" si="146"/>
        <v>E</v>
      </c>
      <c r="I887" s="24" t="str">
        <f t="shared" si="147"/>
        <v/>
      </c>
      <c r="M887" s="27" t="str">
        <f t="shared" si="143"/>
        <v/>
      </c>
      <c r="O887" s="27" t="str">
        <f t="shared" si="144"/>
        <v/>
      </c>
      <c r="P887" s="27" t="str">
        <f t="shared" si="148"/>
        <v/>
      </c>
      <c r="Q887" s="27" t="str">
        <f t="shared" si="145"/>
        <v/>
      </c>
      <c r="R887" s="27" t="str">
        <f t="shared" si="149"/>
        <v/>
      </c>
    </row>
    <row r="888" spans="7:18" x14ac:dyDescent="0.25">
      <c r="G888" s="29" t="str">
        <f t="shared" si="146"/>
        <v>E</v>
      </c>
      <c r="I888" s="24" t="str">
        <f t="shared" si="147"/>
        <v/>
      </c>
      <c r="M888" s="27" t="str">
        <f t="shared" si="143"/>
        <v/>
      </c>
      <c r="O888" s="27" t="str">
        <f t="shared" si="144"/>
        <v/>
      </c>
      <c r="P888" s="27" t="str">
        <f t="shared" si="148"/>
        <v/>
      </c>
      <c r="Q888" s="27" t="str">
        <f t="shared" si="145"/>
        <v/>
      </c>
      <c r="R888" s="27" t="str">
        <f t="shared" si="149"/>
        <v/>
      </c>
    </row>
    <row r="889" spans="7:18" x14ac:dyDescent="0.25">
      <c r="G889" s="29" t="str">
        <f t="shared" si="146"/>
        <v>E</v>
      </c>
      <c r="I889" s="24" t="str">
        <f t="shared" si="147"/>
        <v/>
      </c>
      <c r="M889" s="27" t="str">
        <f t="shared" si="143"/>
        <v/>
      </c>
      <c r="O889" s="27" t="str">
        <f t="shared" si="144"/>
        <v/>
      </c>
      <c r="P889" s="27" t="str">
        <f t="shared" si="148"/>
        <v/>
      </c>
      <c r="Q889" s="27" t="str">
        <f t="shared" si="145"/>
        <v/>
      </c>
      <c r="R889" s="27" t="str">
        <f t="shared" si="149"/>
        <v/>
      </c>
    </row>
    <row r="890" spans="7:18" x14ac:dyDescent="0.25">
      <c r="G890" s="29" t="str">
        <f t="shared" si="146"/>
        <v>E</v>
      </c>
      <c r="I890" s="24" t="str">
        <f t="shared" si="147"/>
        <v/>
      </c>
      <c r="M890" s="27" t="str">
        <f t="shared" ref="M890:M953" si="150">IF(L890="","",VLOOKUP(L890,$Y$4:$Z$15,2,TRUE))</f>
        <v/>
      </c>
      <c r="O890" s="27" t="str">
        <f t="shared" ref="O890:O953" si="151">IF(N890="","",VLOOKUP(N890,$Y$4:$Z$15,2,TRUE))</f>
        <v/>
      </c>
      <c r="P890" s="27" t="str">
        <f t="shared" si="148"/>
        <v/>
      </c>
      <c r="Q890" s="27" t="str">
        <f t="shared" si="145"/>
        <v/>
      </c>
      <c r="R890" s="27" t="str">
        <f t="shared" si="149"/>
        <v/>
      </c>
    </row>
    <row r="891" spans="7:18" x14ac:dyDescent="0.25">
      <c r="G891" s="29" t="str">
        <f t="shared" si="146"/>
        <v>E</v>
      </c>
      <c r="I891" s="24" t="str">
        <f t="shared" si="147"/>
        <v/>
      </c>
      <c r="M891" s="27" t="str">
        <f t="shared" si="150"/>
        <v/>
      </c>
      <c r="O891" s="27" t="str">
        <f t="shared" si="151"/>
        <v/>
      </c>
      <c r="P891" s="27" t="str">
        <f t="shared" si="148"/>
        <v/>
      </c>
      <c r="Q891" s="27" t="str">
        <f t="shared" si="145"/>
        <v/>
      </c>
      <c r="R891" s="27" t="str">
        <f t="shared" si="149"/>
        <v/>
      </c>
    </row>
    <row r="892" spans="7:18" x14ac:dyDescent="0.25">
      <c r="G892" s="29" t="str">
        <f t="shared" si="146"/>
        <v>E</v>
      </c>
      <c r="I892" s="24" t="str">
        <f t="shared" si="147"/>
        <v/>
      </c>
      <c r="M892" s="27" t="str">
        <f t="shared" si="150"/>
        <v/>
      </c>
      <c r="O892" s="27" t="str">
        <f t="shared" si="151"/>
        <v/>
      </c>
      <c r="P892" s="27" t="str">
        <f t="shared" si="148"/>
        <v/>
      </c>
      <c r="Q892" s="27" t="str">
        <f t="shared" si="145"/>
        <v/>
      </c>
      <c r="R892" s="27" t="str">
        <f t="shared" si="149"/>
        <v/>
      </c>
    </row>
    <row r="893" spans="7:18" x14ac:dyDescent="0.25">
      <c r="G893" s="29" t="str">
        <f t="shared" si="146"/>
        <v>E</v>
      </c>
      <c r="I893" s="24" t="str">
        <f t="shared" si="147"/>
        <v/>
      </c>
      <c r="M893" s="27" t="str">
        <f t="shared" si="150"/>
        <v/>
      </c>
      <c r="O893" s="27" t="str">
        <f t="shared" si="151"/>
        <v/>
      </c>
      <c r="P893" s="27" t="str">
        <f t="shared" si="148"/>
        <v/>
      </c>
      <c r="Q893" s="27" t="str">
        <f t="shared" si="145"/>
        <v/>
      </c>
      <c r="R893" s="27" t="str">
        <f t="shared" si="149"/>
        <v/>
      </c>
    </row>
    <row r="894" spans="7:18" x14ac:dyDescent="0.25">
      <c r="G894" s="29" t="str">
        <f t="shared" si="146"/>
        <v>E</v>
      </c>
      <c r="I894" s="24" t="str">
        <f t="shared" si="147"/>
        <v/>
      </c>
      <c r="M894" s="27" t="str">
        <f t="shared" si="150"/>
        <v/>
      </c>
      <c r="O894" s="27" t="str">
        <f t="shared" si="151"/>
        <v/>
      </c>
      <c r="P894" s="27" t="str">
        <f t="shared" si="148"/>
        <v/>
      </c>
      <c r="Q894" s="27" t="str">
        <f t="shared" si="145"/>
        <v/>
      </c>
      <c r="R894" s="27" t="str">
        <f t="shared" si="149"/>
        <v/>
      </c>
    </row>
    <row r="895" spans="7:18" x14ac:dyDescent="0.25">
      <c r="G895" s="29" t="str">
        <f t="shared" si="146"/>
        <v>E</v>
      </c>
      <c r="I895" s="24" t="str">
        <f t="shared" si="147"/>
        <v/>
      </c>
      <c r="M895" s="27" t="str">
        <f t="shared" si="150"/>
        <v/>
      </c>
      <c r="O895" s="27" t="str">
        <f t="shared" si="151"/>
        <v/>
      </c>
      <c r="P895" s="27" t="str">
        <f t="shared" si="148"/>
        <v/>
      </c>
      <c r="Q895" s="27" t="str">
        <f t="shared" si="145"/>
        <v/>
      </c>
      <c r="R895" s="27" t="str">
        <f t="shared" si="149"/>
        <v/>
      </c>
    </row>
    <row r="896" spans="7:18" x14ac:dyDescent="0.25">
      <c r="G896" s="29" t="str">
        <f t="shared" si="146"/>
        <v>E</v>
      </c>
      <c r="I896" s="24" t="str">
        <f t="shared" si="147"/>
        <v/>
      </c>
      <c r="M896" s="27" t="str">
        <f t="shared" si="150"/>
        <v/>
      </c>
      <c r="O896" s="27" t="str">
        <f t="shared" si="151"/>
        <v/>
      </c>
      <c r="P896" s="27" t="str">
        <f t="shared" si="148"/>
        <v/>
      </c>
      <c r="Q896" s="27" t="str">
        <f t="shared" si="145"/>
        <v/>
      </c>
      <c r="R896" s="27" t="str">
        <f t="shared" si="149"/>
        <v/>
      </c>
    </row>
    <row r="897" spans="7:18" x14ac:dyDescent="0.25">
      <c r="G897" s="29" t="str">
        <f t="shared" si="146"/>
        <v>E</v>
      </c>
      <c r="I897" s="24" t="str">
        <f t="shared" si="147"/>
        <v/>
      </c>
      <c r="M897" s="27" t="str">
        <f t="shared" si="150"/>
        <v/>
      </c>
      <c r="O897" s="27" t="str">
        <f t="shared" si="151"/>
        <v/>
      </c>
      <c r="P897" s="27" t="str">
        <f t="shared" si="148"/>
        <v/>
      </c>
      <c r="Q897" s="27" t="str">
        <f t="shared" si="145"/>
        <v/>
      </c>
      <c r="R897" s="27" t="str">
        <f t="shared" si="149"/>
        <v/>
      </c>
    </row>
    <row r="898" spans="7:18" x14ac:dyDescent="0.25">
      <c r="G898" s="29" t="str">
        <f t="shared" si="146"/>
        <v>E</v>
      </c>
      <c r="I898" s="24" t="str">
        <f t="shared" si="147"/>
        <v/>
      </c>
      <c r="M898" s="27" t="str">
        <f t="shared" si="150"/>
        <v/>
      </c>
      <c r="O898" s="27" t="str">
        <f t="shared" si="151"/>
        <v/>
      </c>
      <c r="P898" s="27" t="str">
        <f t="shared" si="148"/>
        <v/>
      </c>
      <c r="Q898" s="27" t="str">
        <f t="shared" si="145"/>
        <v/>
      </c>
      <c r="R898" s="27" t="str">
        <f t="shared" si="149"/>
        <v/>
      </c>
    </row>
    <row r="899" spans="7:18" x14ac:dyDescent="0.25">
      <c r="G899" s="29" t="str">
        <f t="shared" si="146"/>
        <v>E</v>
      </c>
      <c r="I899" s="24" t="str">
        <f t="shared" si="147"/>
        <v/>
      </c>
      <c r="M899" s="27" t="str">
        <f t="shared" si="150"/>
        <v/>
      </c>
      <c r="O899" s="27" t="str">
        <f t="shared" si="151"/>
        <v/>
      </c>
      <c r="P899" s="27" t="str">
        <f t="shared" si="148"/>
        <v/>
      </c>
      <c r="Q899" s="27" t="str">
        <f t="shared" ref="Q899:Q962" si="152">IF(P899="","",P899/500*12)</f>
        <v/>
      </c>
      <c r="R899" s="27" t="str">
        <f t="shared" si="149"/>
        <v/>
      </c>
    </row>
    <row r="900" spans="7:18" x14ac:dyDescent="0.25">
      <c r="G900" s="29" t="str">
        <f t="shared" si="146"/>
        <v>E</v>
      </c>
      <c r="I900" s="24" t="str">
        <f t="shared" si="147"/>
        <v/>
      </c>
      <c r="M900" s="27" t="str">
        <f t="shared" si="150"/>
        <v/>
      </c>
      <c r="O900" s="27" t="str">
        <f t="shared" si="151"/>
        <v/>
      </c>
      <c r="P900" s="27" t="str">
        <f t="shared" si="148"/>
        <v/>
      </c>
      <c r="Q900" s="27" t="str">
        <f t="shared" si="152"/>
        <v/>
      </c>
      <c r="R900" s="27" t="str">
        <f t="shared" si="149"/>
        <v/>
      </c>
    </row>
    <row r="901" spans="7:18" x14ac:dyDescent="0.25">
      <c r="G901" s="29" t="str">
        <f t="shared" ref="G901:G964" si="153">VLOOKUP(F901,$Y$4:$Z$15,2,TRUE)</f>
        <v>E</v>
      </c>
      <c r="I901" s="24" t="str">
        <f t="shared" si="147"/>
        <v/>
      </c>
      <c r="M901" s="27" t="str">
        <f t="shared" si="150"/>
        <v/>
      </c>
      <c r="O901" s="27" t="str">
        <f t="shared" si="151"/>
        <v/>
      </c>
      <c r="P901" s="27" t="str">
        <f t="shared" si="148"/>
        <v/>
      </c>
      <c r="Q901" s="27" t="str">
        <f t="shared" si="152"/>
        <v/>
      </c>
      <c r="R901" s="27" t="str">
        <f t="shared" si="149"/>
        <v/>
      </c>
    </row>
    <row r="902" spans="7:18" x14ac:dyDescent="0.25">
      <c r="G902" s="29" t="str">
        <f t="shared" si="153"/>
        <v>E</v>
      </c>
      <c r="I902" s="24" t="str">
        <f t="shared" si="147"/>
        <v/>
      </c>
      <c r="M902" s="27" t="str">
        <f t="shared" si="150"/>
        <v/>
      </c>
      <c r="O902" s="27" t="str">
        <f t="shared" si="151"/>
        <v/>
      </c>
      <c r="P902" s="27" t="str">
        <f t="shared" si="148"/>
        <v/>
      </c>
      <c r="Q902" s="27" t="str">
        <f t="shared" si="152"/>
        <v/>
      </c>
      <c r="R902" s="27" t="str">
        <f t="shared" si="149"/>
        <v/>
      </c>
    </row>
    <row r="903" spans="7:18" x14ac:dyDescent="0.25">
      <c r="G903" s="29" t="str">
        <f t="shared" si="153"/>
        <v>E</v>
      </c>
      <c r="I903" s="24" t="str">
        <f t="shared" si="147"/>
        <v/>
      </c>
      <c r="M903" s="27" t="str">
        <f t="shared" si="150"/>
        <v/>
      </c>
      <c r="O903" s="27" t="str">
        <f t="shared" si="151"/>
        <v/>
      </c>
      <c r="P903" s="27" t="str">
        <f t="shared" si="148"/>
        <v/>
      </c>
      <c r="Q903" s="27" t="str">
        <f t="shared" si="152"/>
        <v/>
      </c>
      <c r="R903" s="27" t="str">
        <f t="shared" si="149"/>
        <v/>
      </c>
    </row>
    <row r="904" spans="7:18" x14ac:dyDescent="0.25">
      <c r="G904" s="29" t="str">
        <f t="shared" si="153"/>
        <v>E</v>
      </c>
      <c r="I904" s="24" t="str">
        <f t="shared" si="147"/>
        <v/>
      </c>
      <c r="M904" s="27" t="str">
        <f t="shared" si="150"/>
        <v/>
      </c>
      <c r="O904" s="27" t="str">
        <f t="shared" si="151"/>
        <v/>
      </c>
      <c r="P904" s="27" t="str">
        <f t="shared" si="148"/>
        <v/>
      </c>
      <c r="Q904" s="27" t="str">
        <f t="shared" si="152"/>
        <v/>
      </c>
      <c r="R904" s="27" t="str">
        <f t="shared" si="149"/>
        <v/>
      </c>
    </row>
    <row r="905" spans="7:18" x14ac:dyDescent="0.25">
      <c r="G905" s="29" t="str">
        <f t="shared" si="153"/>
        <v>E</v>
      </c>
      <c r="I905" s="24" t="str">
        <f t="shared" si="147"/>
        <v/>
      </c>
      <c r="M905" s="27" t="str">
        <f t="shared" si="150"/>
        <v/>
      </c>
      <c r="O905" s="27" t="str">
        <f t="shared" si="151"/>
        <v/>
      </c>
      <c r="P905" s="27" t="str">
        <f t="shared" si="148"/>
        <v/>
      </c>
      <c r="Q905" s="27" t="str">
        <f t="shared" si="152"/>
        <v/>
      </c>
      <c r="R905" s="27" t="str">
        <f t="shared" si="149"/>
        <v/>
      </c>
    </row>
    <row r="906" spans="7:18" x14ac:dyDescent="0.25">
      <c r="G906" s="29" t="str">
        <f t="shared" si="153"/>
        <v>E</v>
      </c>
      <c r="I906" s="24" t="str">
        <f t="shared" si="147"/>
        <v/>
      </c>
      <c r="M906" s="27" t="str">
        <f t="shared" si="150"/>
        <v/>
      </c>
      <c r="O906" s="27" t="str">
        <f t="shared" si="151"/>
        <v/>
      </c>
      <c r="P906" s="27" t="str">
        <f t="shared" si="148"/>
        <v/>
      </c>
      <c r="Q906" s="27" t="str">
        <f t="shared" si="152"/>
        <v/>
      </c>
      <c r="R906" s="27" t="str">
        <f t="shared" si="149"/>
        <v/>
      </c>
    </row>
    <row r="907" spans="7:18" x14ac:dyDescent="0.25">
      <c r="G907" s="29" t="str">
        <f t="shared" si="153"/>
        <v>E</v>
      </c>
      <c r="I907" s="24" t="str">
        <f t="shared" si="147"/>
        <v/>
      </c>
      <c r="M907" s="27" t="str">
        <f t="shared" si="150"/>
        <v/>
      </c>
      <c r="O907" s="27" t="str">
        <f t="shared" si="151"/>
        <v/>
      </c>
      <c r="P907" s="27" t="str">
        <f t="shared" si="148"/>
        <v/>
      </c>
      <c r="Q907" s="27" t="str">
        <f t="shared" si="152"/>
        <v/>
      </c>
      <c r="R907" s="27" t="str">
        <f t="shared" si="149"/>
        <v/>
      </c>
    </row>
    <row r="908" spans="7:18" x14ac:dyDescent="0.25">
      <c r="G908" s="29" t="str">
        <f t="shared" si="153"/>
        <v>E</v>
      </c>
      <c r="I908" s="24" t="str">
        <f t="shared" si="147"/>
        <v/>
      </c>
      <c r="M908" s="27" t="str">
        <f t="shared" si="150"/>
        <v/>
      </c>
      <c r="O908" s="27" t="str">
        <f t="shared" si="151"/>
        <v/>
      </c>
      <c r="P908" s="27" t="str">
        <f t="shared" si="148"/>
        <v/>
      </c>
      <c r="Q908" s="27" t="str">
        <f t="shared" si="152"/>
        <v/>
      </c>
      <c r="R908" s="27" t="str">
        <f t="shared" si="149"/>
        <v/>
      </c>
    </row>
    <row r="909" spans="7:18" x14ac:dyDescent="0.25">
      <c r="G909" s="29" t="str">
        <f t="shared" si="153"/>
        <v>E</v>
      </c>
      <c r="I909" s="24" t="str">
        <f t="shared" si="147"/>
        <v/>
      </c>
      <c r="M909" s="27" t="str">
        <f t="shared" si="150"/>
        <v/>
      </c>
      <c r="O909" s="27" t="str">
        <f t="shared" si="151"/>
        <v/>
      </c>
      <c r="P909" s="27" t="str">
        <f t="shared" si="148"/>
        <v/>
      </c>
      <c r="Q909" s="27" t="str">
        <f t="shared" si="152"/>
        <v/>
      </c>
      <c r="R909" s="27" t="str">
        <f t="shared" si="149"/>
        <v/>
      </c>
    </row>
    <row r="910" spans="7:18" x14ac:dyDescent="0.25">
      <c r="G910" s="29" t="str">
        <f t="shared" si="153"/>
        <v>E</v>
      </c>
      <c r="I910" s="24" t="str">
        <f t="shared" si="147"/>
        <v/>
      </c>
      <c r="M910" s="27" t="str">
        <f t="shared" si="150"/>
        <v/>
      </c>
      <c r="O910" s="27" t="str">
        <f t="shared" si="151"/>
        <v/>
      </c>
      <c r="P910" s="27" t="str">
        <f t="shared" si="148"/>
        <v/>
      </c>
      <c r="Q910" s="27" t="str">
        <f t="shared" si="152"/>
        <v/>
      </c>
      <c r="R910" s="27" t="str">
        <f t="shared" si="149"/>
        <v/>
      </c>
    </row>
    <row r="911" spans="7:18" x14ac:dyDescent="0.25">
      <c r="G911" s="29" t="str">
        <f t="shared" si="153"/>
        <v>E</v>
      </c>
      <c r="I911" s="24" t="str">
        <f t="shared" si="147"/>
        <v/>
      </c>
      <c r="M911" s="27" t="str">
        <f t="shared" si="150"/>
        <v/>
      </c>
      <c r="O911" s="27" t="str">
        <f t="shared" si="151"/>
        <v/>
      </c>
      <c r="P911" s="27" t="str">
        <f t="shared" si="148"/>
        <v/>
      </c>
      <c r="Q911" s="27" t="str">
        <f t="shared" si="152"/>
        <v/>
      </c>
      <c r="R911" s="27" t="str">
        <f t="shared" si="149"/>
        <v/>
      </c>
    </row>
    <row r="912" spans="7:18" x14ac:dyDescent="0.25">
      <c r="G912" s="29" t="str">
        <f t="shared" si="153"/>
        <v>E</v>
      </c>
      <c r="I912" s="24" t="str">
        <f t="shared" si="147"/>
        <v/>
      </c>
      <c r="M912" s="27" t="str">
        <f t="shared" si="150"/>
        <v/>
      </c>
      <c r="O912" s="27" t="str">
        <f t="shared" si="151"/>
        <v/>
      </c>
      <c r="P912" s="27" t="str">
        <f t="shared" si="148"/>
        <v/>
      </c>
      <c r="Q912" s="27" t="str">
        <f t="shared" si="152"/>
        <v/>
      </c>
      <c r="R912" s="27" t="str">
        <f t="shared" si="149"/>
        <v/>
      </c>
    </row>
    <row r="913" spans="7:18" x14ac:dyDescent="0.25">
      <c r="G913" s="29" t="str">
        <f t="shared" si="153"/>
        <v>E</v>
      </c>
      <c r="I913" s="24" t="str">
        <f t="shared" si="147"/>
        <v/>
      </c>
      <c r="M913" s="27" t="str">
        <f t="shared" si="150"/>
        <v/>
      </c>
      <c r="O913" s="27" t="str">
        <f t="shared" si="151"/>
        <v/>
      </c>
      <c r="P913" s="27" t="str">
        <f t="shared" si="148"/>
        <v/>
      </c>
      <c r="Q913" s="27" t="str">
        <f t="shared" si="152"/>
        <v/>
      </c>
      <c r="R913" s="27" t="str">
        <f t="shared" si="149"/>
        <v/>
      </c>
    </row>
    <row r="914" spans="7:18" x14ac:dyDescent="0.25">
      <c r="G914" s="29" t="str">
        <f t="shared" si="153"/>
        <v>E</v>
      </c>
      <c r="I914" s="24" t="str">
        <f t="shared" si="147"/>
        <v/>
      </c>
      <c r="M914" s="27" t="str">
        <f t="shared" si="150"/>
        <v/>
      </c>
      <c r="O914" s="27" t="str">
        <f t="shared" si="151"/>
        <v/>
      </c>
      <c r="P914" s="27" t="str">
        <f t="shared" si="148"/>
        <v/>
      </c>
      <c r="Q914" s="27" t="str">
        <f t="shared" si="152"/>
        <v/>
      </c>
      <c r="R914" s="27" t="str">
        <f t="shared" si="149"/>
        <v/>
      </c>
    </row>
    <row r="915" spans="7:18" x14ac:dyDescent="0.25">
      <c r="G915" s="29" t="str">
        <f t="shared" si="153"/>
        <v>E</v>
      </c>
      <c r="I915" s="24" t="str">
        <f t="shared" si="147"/>
        <v/>
      </c>
      <c r="M915" s="27" t="str">
        <f t="shared" si="150"/>
        <v/>
      </c>
      <c r="O915" s="27" t="str">
        <f t="shared" si="151"/>
        <v/>
      </c>
      <c r="P915" s="27" t="str">
        <f t="shared" si="148"/>
        <v/>
      </c>
      <c r="Q915" s="27" t="str">
        <f t="shared" si="152"/>
        <v/>
      </c>
      <c r="R915" s="27" t="str">
        <f t="shared" si="149"/>
        <v/>
      </c>
    </row>
    <row r="916" spans="7:18" x14ac:dyDescent="0.25">
      <c r="G916" s="29" t="str">
        <f t="shared" si="153"/>
        <v>E</v>
      </c>
      <c r="I916" s="24" t="str">
        <f t="shared" si="147"/>
        <v/>
      </c>
      <c r="M916" s="27" t="str">
        <f t="shared" si="150"/>
        <v/>
      </c>
      <c r="O916" s="27" t="str">
        <f t="shared" si="151"/>
        <v/>
      </c>
      <c r="P916" s="27" t="str">
        <f t="shared" si="148"/>
        <v/>
      </c>
      <c r="Q916" s="27" t="str">
        <f t="shared" si="152"/>
        <v/>
      </c>
      <c r="R916" s="27" t="str">
        <f t="shared" si="149"/>
        <v/>
      </c>
    </row>
    <row r="917" spans="7:18" x14ac:dyDescent="0.25">
      <c r="G917" s="29" t="str">
        <f t="shared" si="153"/>
        <v>E</v>
      </c>
      <c r="I917" s="24" t="str">
        <f t="shared" si="147"/>
        <v/>
      </c>
      <c r="M917" s="27" t="str">
        <f t="shared" si="150"/>
        <v/>
      </c>
      <c r="O917" s="27" t="str">
        <f t="shared" si="151"/>
        <v/>
      </c>
      <c r="P917" s="27" t="str">
        <f t="shared" si="148"/>
        <v/>
      </c>
      <c r="Q917" s="27" t="str">
        <f t="shared" si="152"/>
        <v/>
      </c>
      <c r="R917" s="27" t="str">
        <f t="shared" si="149"/>
        <v/>
      </c>
    </row>
    <row r="918" spans="7:18" x14ac:dyDescent="0.25">
      <c r="G918" s="29" t="str">
        <f t="shared" si="153"/>
        <v>E</v>
      </c>
      <c r="I918" s="24" t="str">
        <f t="shared" si="147"/>
        <v/>
      </c>
      <c r="M918" s="27" t="str">
        <f t="shared" si="150"/>
        <v/>
      </c>
      <c r="O918" s="27" t="str">
        <f t="shared" si="151"/>
        <v/>
      </c>
      <c r="P918" s="27" t="str">
        <f t="shared" si="148"/>
        <v/>
      </c>
      <c r="Q918" s="27" t="str">
        <f t="shared" si="152"/>
        <v/>
      </c>
      <c r="R918" s="27" t="str">
        <f t="shared" si="149"/>
        <v/>
      </c>
    </row>
    <row r="919" spans="7:18" x14ac:dyDescent="0.25">
      <c r="G919" s="29" t="str">
        <f t="shared" si="153"/>
        <v>E</v>
      </c>
      <c r="I919" s="24" t="str">
        <f t="shared" si="147"/>
        <v/>
      </c>
      <c r="M919" s="27" t="str">
        <f t="shared" si="150"/>
        <v/>
      </c>
      <c r="O919" s="27" t="str">
        <f t="shared" si="151"/>
        <v/>
      </c>
      <c r="P919" s="27" t="str">
        <f t="shared" si="148"/>
        <v/>
      </c>
      <c r="Q919" s="27" t="str">
        <f t="shared" si="152"/>
        <v/>
      </c>
      <c r="R919" s="27" t="str">
        <f t="shared" si="149"/>
        <v/>
      </c>
    </row>
    <row r="920" spans="7:18" x14ac:dyDescent="0.25">
      <c r="G920" s="29" t="str">
        <f t="shared" si="153"/>
        <v>E</v>
      </c>
      <c r="I920" s="24" t="str">
        <f t="shared" ref="I920:I983" si="154">IF(H920="","",VLOOKUP(H920,$Y$4:$Z$15,2,TRUE))</f>
        <v/>
      </c>
      <c r="M920" s="27" t="str">
        <f t="shared" si="150"/>
        <v/>
      </c>
      <c r="O920" s="27" t="str">
        <f t="shared" si="151"/>
        <v/>
      </c>
      <c r="P920" s="27" t="str">
        <f t="shared" si="148"/>
        <v/>
      </c>
      <c r="Q920" s="27" t="str">
        <f t="shared" si="152"/>
        <v/>
      </c>
      <c r="R920" s="27" t="str">
        <f t="shared" si="149"/>
        <v/>
      </c>
    </row>
    <row r="921" spans="7:18" x14ac:dyDescent="0.25">
      <c r="G921" s="29" t="str">
        <f t="shared" si="153"/>
        <v>E</v>
      </c>
      <c r="I921" s="24" t="str">
        <f t="shared" si="154"/>
        <v/>
      </c>
      <c r="M921" s="27" t="str">
        <f t="shared" si="150"/>
        <v/>
      </c>
      <c r="O921" s="27" t="str">
        <f t="shared" si="151"/>
        <v/>
      </c>
      <c r="P921" s="27" t="str">
        <f t="shared" ref="P921:P984" si="155">IF(COUNT(F921:O921)=0,"",SUM(F921:O921))</f>
        <v/>
      </c>
      <c r="Q921" s="27" t="str">
        <f t="shared" si="152"/>
        <v/>
      </c>
      <c r="R921" s="27" t="str">
        <f t="shared" si="149"/>
        <v/>
      </c>
    </row>
    <row r="922" spans="7:18" x14ac:dyDescent="0.25">
      <c r="G922" s="29" t="str">
        <f t="shared" si="153"/>
        <v>E</v>
      </c>
      <c r="I922" s="24" t="str">
        <f t="shared" si="154"/>
        <v/>
      </c>
      <c r="M922" s="27" t="str">
        <f t="shared" si="150"/>
        <v/>
      </c>
      <c r="O922" s="27" t="str">
        <f t="shared" si="151"/>
        <v/>
      </c>
      <c r="P922" s="27" t="str">
        <f t="shared" si="155"/>
        <v/>
      </c>
      <c r="Q922" s="27" t="str">
        <f t="shared" si="152"/>
        <v/>
      </c>
      <c r="R922" s="27" t="str">
        <f t="shared" si="149"/>
        <v/>
      </c>
    </row>
    <row r="923" spans="7:18" x14ac:dyDescent="0.25">
      <c r="G923" s="29" t="str">
        <f t="shared" si="153"/>
        <v>E</v>
      </c>
      <c r="I923" s="24" t="str">
        <f t="shared" si="154"/>
        <v/>
      </c>
      <c r="M923" s="27" t="str">
        <f t="shared" si="150"/>
        <v/>
      </c>
      <c r="O923" s="27" t="str">
        <f t="shared" si="151"/>
        <v/>
      </c>
      <c r="P923" s="27" t="str">
        <f t="shared" si="155"/>
        <v/>
      </c>
      <c r="Q923" s="27" t="str">
        <f t="shared" si="152"/>
        <v/>
      </c>
      <c r="R923" s="27" t="str">
        <f t="shared" si="149"/>
        <v/>
      </c>
    </row>
    <row r="924" spans="7:18" x14ac:dyDescent="0.25">
      <c r="G924" s="29" t="str">
        <f t="shared" si="153"/>
        <v>E</v>
      </c>
      <c r="I924" s="24" t="str">
        <f t="shared" si="154"/>
        <v/>
      </c>
      <c r="M924" s="27" t="str">
        <f t="shared" si="150"/>
        <v/>
      </c>
      <c r="O924" s="27" t="str">
        <f t="shared" si="151"/>
        <v/>
      </c>
      <c r="P924" s="27" t="str">
        <f t="shared" si="155"/>
        <v/>
      </c>
      <c r="Q924" s="27" t="str">
        <f t="shared" si="152"/>
        <v/>
      </c>
      <c r="R924" s="27" t="str">
        <f t="shared" si="149"/>
        <v/>
      </c>
    </row>
    <row r="925" spans="7:18" x14ac:dyDescent="0.25">
      <c r="G925" s="29" t="str">
        <f t="shared" si="153"/>
        <v>E</v>
      </c>
      <c r="I925" s="24" t="str">
        <f t="shared" si="154"/>
        <v/>
      </c>
      <c r="M925" s="27" t="str">
        <f t="shared" si="150"/>
        <v/>
      </c>
      <c r="O925" s="27" t="str">
        <f t="shared" si="151"/>
        <v/>
      </c>
      <c r="P925" s="27" t="str">
        <f t="shared" si="155"/>
        <v/>
      </c>
      <c r="Q925" s="27" t="str">
        <f t="shared" si="152"/>
        <v/>
      </c>
      <c r="R925" s="27" t="str">
        <f t="shared" si="149"/>
        <v/>
      </c>
    </row>
    <row r="926" spans="7:18" x14ac:dyDescent="0.25">
      <c r="G926" s="29" t="str">
        <f t="shared" si="153"/>
        <v>E</v>
      </c>
      <c r="I926" s="24" t="str">
        <f t="shared" si="154"/>
        <v/>
      </c>
      <c r="M926" s="27" t="str">
        <f t="shared" si="150"/>
        <v/>
      </c>
      <c r="O926" s="27" t="str">
        <f t="shared" si="151"/>
        <v/>
      </c>
      <c r="P926" s="27" t="str">
        <f t="shared" si="155"/>
        <v/>
      </c>
      <c r="Q926" s="27" t="str">
        <f t="shared" si="152"/>
        <v/>
      </c>
      <c r="R926" s="27" t="str">
        <f t="shared" si="149"/>
        <v/>
      </c>
    </row>
    <row r="927" spans="7:18" x14ac:dyDescent="0.25">
      <c r="G927" s="29" t="str">
        <f t="shared" si="153"/>
        <v>E</v>
      </c>
      <c r="I927" s="24" t="str">
        <f t="shared" si="154"/>
        <v/>
      </c>
      <c r="M927" s="27" t="str">
        <f t="shared" si="150"/>
        <v/>
      </c>
      <c r="O927" s="27" t="str">
        <f t="shared" si="151"/>
        <v/>
      </c>
      <c r="P927" s="27" t="str">
        <f t="shared" si="155"/>
        <v/>
      </c>
      <c r="Q927" s="27" t="str">
        <f t="shared" si="152"/>
        <v/>
      </c>
      <c r="R927" s="27" t="str">
        <f t="shared" ref="R927:R990" si="156">IF(Q927="","",VLOOKUP(Q927,$W$4:$X$15,2,TRUE))</f>
        <v/>
      </c>
    </row>
    <row r="928" spans="7:18" x14ac:dyDescent="0.25">
      <c r="G928" s="29" t="str">
        <f t="shared" si="153"/>
        <v>E</v>
      </c>
      <c r="I928" s="24" t="str">
        <f t="shared" si="154"/>
        <v/>
      </c>
      <c r="M928" s="27" t="str">
        <f t="shared" si="150"/>
        <v/>
      </c>
      <c r="O928" s="27" t="str">
        <f t="shared" si="151"/>
        <v/>
      </c>
      <c r="P928" s="27" t="str">
        <f t="shared" si="155"/>
        <v/>
      </c>
      <c r="Q928" s="27" t="str">
        <f t="shared" si="152"/>
        <v/>
      </c>
      <c r="R928" s="27" t="str">
        <f t="shared" si="156"/>
        <v/>
      </c>
    </row>
    <row r="929" spans="7:18" x14ac:dyDescent="0.25">
      <c r="G929" s="29" t="str">
        <f t="shared" si="153"/>
        <v>E</v>
      </c>
      <c r="I929" s="24" t="str">
        <f t="shared" si="154"/>
        <v/>
      </c>
      <c r="M929" s="27" t="str">
        <f t="shared" si="150"/>
        <v/>
      </c>
      <c r="O929" s="27" t="str">
        <f t="shared" si="151"/>
        <v/>
      </c>
      <c r="P929" s="27" t="str">
        <f t="shared" si="155"/>
        <v/>
      </c>
      <c r="Q929" s="27" t="str">
        <f t="shared" si="152"/>
        <v/>
      </c>
      <c r="R929" s="27" t="str">
        <f t="shared" si="156"/>
        <v/>
      </c>
    </row>
    <row r="930" spans="7:18" x14ac:dyDescent="0.25">
      <c r="G930" s="29" t="str">
        <f t="shared" si="153"/>
        <v>E</v>
      </c>
      <c r="I930" s="24" t="str">
        <f t="shared" si="154"/>
        <v/>
      </c>
      <c r="M930" s="27" t="str">
        <f t="shared" si="150"/>
        <v/>
      </c>
      <c r="O930" s="27" t="str">
        <f t="shared" si="151"/>
        <v/>
      </c>
      <c r="P930" s="27" t="str">
        <f t="shared" si="155"/>
        <v/>
      </c>
      <c r="Q930" s="27" t="str">
        <f t="shared" si="152"/>
        <v/>
      </c>
      <c r="R930" s="27" t="str">
        <f t="shared" si="156"/>
        <v/>
      </c>
    </row>
    <row r="931" spans="7:18" x14ac:dyDescent="0.25">
      <c r="G931" s="29" t="str">
        <f t="shared" si="153"/>
        <v>E</v>
      </c>
      <c r="I931" s="24" t="str">
        <f t="shared" si="154"/>
        <v/>
      </c>
      <c r="M931" s="27" t="str">
        <f t="shared" si="150"/>
        <v/>
      </c>
      <c r="O931" s="27" t="str">
        <f t="shared" si="151"/>
        <v/>
      </c>
      <c r="P931" s="27" t="str">
        <f t="shared" si="155"/>
        <v/>
      </c>
      <c r="Q931" s="27" t="str">
        <f t="shared" si="152"/>
        <v/>
      </c>
      <c r="R931" s="27" t="str">
        <f t="shared" si="156"/>
        <v/>
      </c>
    </row>
    <row r="932" spans="7:18" x14ac:dyDescent="0.25">
      <c r="G932" s="29" t="str">
        <f t="shared" si="153"/>
        <v>E</v>
      </c>
      <c r="I932" s="24" t="str">
        <f t="shared" si="154"/>
        <v/>
      </c>
      <c r="M932" s="27" t="str">
        <f t="shared" si="150"/>
        <v/>
      </c>
      <c r="O932" s="27" t="str">
        <f t="shared" si="151"/>
        <v/>
      </c>
      <c r="P932" s="27" t="str">
        <f t="shared" si="155"/>
        <v/>
      </c>
      <c r="Q932" s="27" t="str">
        <f t="shared" si="152"/>
        <v/>
      </c>
      <c r="R932" s="27" t="str">
        <f t="shared" si="156"/>
        <v/>
      </c>
    </row>
    <row r="933" spans="7:18" x14ac:dyDescent="0.25">
      <c r="G933" s="29" t="str">
        <f t="shared" si="153"/>
        <v>E</v>
      </c>
      <c r="I933" s="24" t="str">
        <f t="shared" si="154"/>
        <v/>
      </c>
      <c r="M933" s="27" t="str">
        <f t="shared" si="150"/>
        <v/>
      </c>
      <c r="O933" s="27" t="str">
        <f t="shared" si="151"/>
        <v/>
      </c>
      <c r="P933" s="27" t="str">
        <f t="shared" si="155"/>
        <v/>
      </c>
      <c r="Q933" s="27" t="str">
        <f t="shared" si="152"/>
        <v/>
      </c>
      <c r="R933" s="27" t="str">
        <f t="shared" si="156"/>
        <v/>
      </c>
    </row>
    <row r="934" spans="7:18" x14ac:dyDescent="0.25">
      <c r="G934" s="29" t="str">
        <f t="shared" si="153"/>
        <v>E</v>
      </c>
      <c r="I934" s="24" t="str">
        <f t="shared" si="154"/>
        <v/>
      </c>
      <c r="M934" s="27" t="str">
        <f t="shared" si="150"/>
        <v/>
      </c>
      <c r="O934" s="27" t="str">
        <f t="shared" si="151"/>
        <v/>
      </c>
      <c r="P934" s="27" t="str">
        <f t="shared" si="155"/>
        <v/>
      </c>
      <c r="Q934" s="27" t="str">
        <f t="shared" si="152"/>
        <v/>
      </c>
      <c r="R934" s="27" t="str">
        <f t="shared" si="156"/>
        <v/>
      </c>
    </row>
    <row r="935" spans="7:18" x14ac:dyDescent="0.25">
      <c r="G935" s="29" t="str">
        <f t="shared" si="153"/>
        <v>E</v>
      </c>
      <c r="I935" s="24" t="str">
        <f t="shared" si="154"/>
        <v/>
      </c>
      <c r="M935" s="27" t="str">
        <f t="shared" si="150"/>
        <v/>
      </c>
      <c r="O935" s="27" t="str">
        <f t="shared" si="151"/>
        <v/>
      </c>
      <c r="P935" s="27" t="str">
        <f t="shared" si="155"/>
        <v/>
      </c>
      <c r="Q935" s="27" t="str">
        <f t="shared" si="152"/>
        <v/>
      </c>
      <c r="R935" s="27" t="str">
        <f t="shared" si="156"/>
        <v/>
      </c>
    </row>
    <row r="936" spans="7:18" x14ac:dyDescent="0.25">
      <c r="G936" s="29" t="str">
        <f t="shared" si="153"/>
        <v>E</v>
      </c>
      <c r="I936" s="24" t="str">
        <f t="shared" si="154"/>
        <v/>
      </c>
      <c r="M936" s="27" t="str">
        <f t="shared" si="150"/>
        <v/>
      </c>
      <c r="O936" s="27" t="str">
        <f t="shared" si="151"/>
        <v/>
      </c>
      <c r="P936" s="27" t="str">
        <f t="shared" si="155"/>
        <v/>
      </c>
      <c r="Q936" s="27" t="str">
        <f t="shared" si="152"/>
        <v/>
      </c>
      <c r="R936" s="27" t="str">
        <f t="shared" si="156"/>
        <v/>
      </c>
    </row>
    <row r="937" spans="7:18" x14ac:dyDescent="0.25">
      <c r="G937" s="29" t="str">
        <f t="shared" si="153"/>
        <v>E</v>
      </c>
      <c r="I937" s="24" t="str">
        <f t="shared" si="154"/>
        <v/>
      </c>
      <c r="M937" s="27" t="str">
        <f t="shared" si="150"/>
        <v/>
      </c>
      <c r="O937" s="27" t="str">
        <f t="shared" si="151"/>
        <v/>
      </c>
      <c r="P937" s="27" t="str">
        <f t="shared" si="155"/>
        <v/>
      </c>
      <c r="Q937" s="27" t="str">
        <f t="shared" si="152"/>
        <v/>
      </c>
      <c r="R937" s="27" t="str">
        <f t="shared" si="156"/>
        <v/>
      </c>
    </row>
    <row r="938" spans="7:18" x14ac:dyDescent="0.25">
      <c r="G938" s="29" t="str">
        <f t="shared" si="153"/>
        <v>E</v>
      </c>
      <c r="I938" s="24" t="str">
        <f t="shared" si="154"/>
        <v/>
      </c>
      <c r="M938" s="27" t="str">
        <f t="shared" si="150"/>
        <v/>
      </c>
      <c r="O938" s="27" t="str">
        <f t="shared" si="151"/>
        <v/>
      </c>
      <c r="P938" s="27" t="str">
        <f t="shared" si="155"/>
        <v/>
      </c>
      <c r="Q938" s="27" t="str">
        <f t="shared" si="152"/>
        <v/>
      </c>
      <c r="R938" s="27" t="str">
        <f t="shared" si="156"/>
        <v/>
      </c>
    </row>
    <row r="939" spans="7:18" x14ac:dyDescent="0.25">
      <c r="G939" s="29" t="str">
        <f t="shared" si="153"/>
        <v>E</v>
      </c>
      <c r="I939" s="24" t="str">
        <f t="shared" si="154"/>
        <v/>
      </c>
      <c r="M939" s="27" t="str">
        <f t="shared" si="150"/>
        <v/>
      </c>
      <c r="O939" s="27" t="str">
        <f t="shared" si="151"/>
        <v/>
      </c>
      <c r="P939" s="27" t="str">
        <f t="shared" si="155"/>
        <v/>
      </c>
      <c r="Q939" s="27" t="str">
        <f t="shared" si="152"/>
        <v/>
      </c>
      <c r="R939" s="27" t="str">
        <f t="shared" si="156"/>
        <v/>
      </c>
    </row>
    <row r="940" spans="7:18" x14ac:dyDescent="0.25">
      <c r="G940" s="29" t="str">
        <f t="shared" si="153"/>
        <v>E</v>
      </c>
      <c r="I940" s="24" t="str">
        <f t="shared" si="154"/>
        <v/>
      </c>
      <c r="M940" s="27" t="str">
        <f t="shared" si="150"/>
        <v/>
      </c>
      <c r="O940" s="27" t="str">
        <f t="shared" si="151"/>
        <v/>
      </c>
      <c r="P940" s="27" t="str">
        <f t="shared" si="155"/>
        <v/>
      </c>
      <c r="Q940" s="27" t="str">
        <f t="shared" si="152"/>
        <v/>
      </c>
      <c r="R940" s="27" t="str">
        <f t="shared" si="156"/>
        <v/>
      </c>
    </row>
    <row r="941" spans="7:18" x14ac:dyDescent="0.25">
      <c r="G941" s="29" t="str">
        <f t="shared" si="153"/>
        <v>E</v>
      </c>
      <c r="I941" s="24" t="str">
        <f t="shared" si="154"/>
        <v/>
      </c>
      <c r="M941" s="27" t="str">
        <f t="shared" si="150"/>
        <v/>
      </c>
      <c r="O941" s="27" t="str">
        <f t="shared" si="151"/>
        <v/>
      </c>
      <c r="P941" s="27" t="str">
        <f t="shared" si="155"/>
        <v/>
      </c>
      <c r="Q941" s="27" t="str">
        <f t="shared" si="152"/>
        <v/>
      </c>
      <c r="R941" s="27" t="str">
        <f t="shared" si="156"/>
        <v/>
      </c>
    </row>
    <row r="942" spans="7:18" x14ac:dyDescent="0.25">
      <c r="G942" s="29" t="str">
        <f t="shared" si="153"/>
        <v>E</v>
      </c>
      <c r="I942" s="24" t="str">
        <f t="shared" si="154"/>
        <v/>
      </c>
      <c r="M942" s="27" t="str">
        <f t="shared" si="150"/>
        <v/>
      </c>
      <c r="O942" s="27" t="str">
        <f t="shared" si="151"/>
        <v/>
      </c>
      <c r="P942" s="27" t="str">
        <f t="shared" si="155"/>
        <v/>
      </c>
      <c r="Q942" s="27" t="str">
        <f t="shared" si="152"/>
        <v/>
      </c>
      <c r="R942" s="27" t="str">
        <f t="shared" si="156"/>
        <v/>
      </c>
    </row>
    <row r="943" spans="7:18" x14ac:dyDescent="0.25">
      <c r="G943" s="29" t="str">
        <f t="shared" si="153"/>
        <v>E</v>
      </c>
      <c r="I943" s="24" t="str">
        <f t="shared" si="154"/>
        <v/>
      </c>
      <c r="M943" s="27" t="str">
        <f t="shared" si="150"/>
        <v/>
      </c>
      <c r="O943" s="27" t="str">
        <f t="shared" si="151"/>
        <v/>
      </c>
      <c r="P943" s="27" t="str">
        <f t="shared" si="155"/>
        <v/>
      </c>
      <c r="Q943" s="27" t="str">
        <f t="shared" si="152"/>
        <v/>
      </c>
      <c r="R943" s="27" t="str">
        <f t="shared" si="156"/>
        <v/>
      </c>
    </row>
    <row r="944" spans="7:18" x14ac:dyDescent="0.25">
      <c r="G944" s="29" t="str">
        <f t="shared" si="153"/>
        <v>E</v>
      </c>
      <c r="I944" s="24" t="str">
        <f t="shared" si="154"/>
        <v/>
      </c>
      <c r="M944" s="27" t="str">
        <f t="shared" si="150"/>
        <v/>
      </c>
      <c r="O944" s="27" t="str">
        <f t="shared" si="151"/>
        <v/>
      </c>
      <c r="P944" s="27" t="str">
        <f t="shared" si="155"/>
        <v/>
      </c>
      <c r="Q944" s="27" t="str">
        <f t="shared" si="152"/>
        <v/>
      </c>
      <c r="R944" s="27" t="str">
        <f t="shared" si="156"/>
        <v/>
      </c>
    </row>
    <row r="945" spans="7:18" x14ac:dyDescent="0.25">
      <c r="G945" s="29" t="str">
        <f t="shared" si="153"/>
        <v>E</v>
      </c>
      <c r="I945" s="24" t="str">
        <f t="shared" si="154"/>
        <v/>
      </c>
      <c r="M945" s="27" t="str">
        <f t="shared" si="150"/>
        <v/>
      </c>
      <c r="O945" s="27" t="str">
        <f t="shared" si="151"/>
        <v/>
      </c>
      <c r="P945" s="27" t="str">
        <f t="shared" si="155"/>
        <v/>
      </c>
      <c r="Q945" s="27" t="str">
        <f t="shared" si="152"/>
        <v/>
      </c>
      <c r="R945" s="27" t="str">
        <f t="shared" si="156"/>
        <v/>
      </c>
    </row>
    <row r="946" spans="7:18" x14ac:dyDescent="0.25">
      <c r="G946" s="29" t="str">
        <f t="shared" si="153"/>
        <v>E</v>
      </c>
      <c r="I946" s="24" t="str">
        <f t="shared" si="154"/>
        <v/>
      </c>
      <c r="M946" s="27" t="str">
        <f t="shared" si="150"/>
        <v/>
      </c>
      <c r="O946" s="27" t="str">
        <f t="shared" si="151"/>
        <v/>
      </c>
      <c r="P946" s="27" t="str">
        <f t="shared" si="155"/>
        <v/>
      </c>
      <c r="Q946" s="27" t="str">
        <f t="shared" si="152"/>
        <v/>
      </c>
      <c r="R946" s="27" t="str">
        <f t="shared" si="156"/>
        <v/>
      </c>
    </row>
    <row r="947" spans="7:18" x14ac:dyDescent="0.25">
      <c r="G947" s="29" t="str">
        <f t="shared" si="153"/>
        <v>E</v>
      </c>
      <c r="I947" s="24" t="str">
        <f t="shared" si="154"/>
        <v/>
      </c>
      <c r="M947" s="27" t="str">
        <f t="shared" si="150"/>
        <v/>
      </c>
      <c r="O947" s="27" t="str">
        <f t="shared" si="151"/>
        <v/>
      </c>
      <c r="P947" s="27" t="str">
        <f t="shared" si="155"/>
        <v/>
      </c>
      <c r="Q947" s="27" t="str">
        <f t="shared" si="152"/>
        <v/>
      </c>
      <c r="R947" s="27" t="str">
        <f t="shared" si="156"/>
        <v/>
      </c>
    </row>
    <row r="948" spans="7:18" x14ac:dyDescent="0.25">
      <c r="G948" s="29" t="str">
        <f t="shared" si="153"/>
        <v>E</v>
      </c>
      <c r="I948" s="24" t="str">
        <f t="shared" si="154"/>
        <v/>
      </c>
      <c r="M948" s="27" t="str">
        <f t="shared" si="150"/>
        <v/>
      </c>
      <c r="O948" s="27" t="str">
        <f t="shared" si="151"/>
        <v/>
      </c>
      <c r="P948" s="27" t="str">
        <f t="shared" si="155"/>
        <v/>
      </c>
      <c r="Q948" s="27" t="str">
        <f t="shared" si="152"/>
        <v/>
      </c>
      <c r="R948" s="27" t="str">
        <f t="shared" si="156"/>
        <v/>
      </c>
    </row>
    <row r="949" spans="7:18" x14ac:dyDescent="0.25">
      <c r="G949" s="29" t="str">
        <f t="shared" si="153"/>
        <v>E</v>
      </c>
      <c r="I949" s="24" t="str">
        <f t="shared" si="154"/>
        <v/>
      </c>
      <c r="M949" s="27" t="str">
        <f t="shared" si="150"/>
        <v/>
      </c>
      <c r="O949" s="27" t="str">
        <f t="shared" si="151"/>
        <v/>
      </c>
      <c r="P949" s="27" t="str">
        <f t="shared" si="155"/>
        <v/>
      </c>
      <c r="Q949" s="27" t="str">
        <f t="shared" si="152"/>
        <v/>
      </c>
      <c r="R949" s="27" t="str">
        <f t="shared" si="156"/>
        <v/>
      </c>
    </row>
    <row r="950" spans="7:18" x14ac:dyDescent="0.25">
      <c r="G950" s="29" t="str">
        <f t="shared" si="153"/>
        <v>E</v>
      </c>
      <c r="I950" s="24" t="str">
        <f t="shared" si="154"/>
        <v/>
      </c>
      <c r="M950" s="27" t="str">
        <f t="shared" si="150"/>
        <v/>
      </c>
      <c r="O950" s="27" t="str">
        <f t="shared" si="151"/>
        <v/>
      </c>
      <c r="P950" s="27" t="str">
        <f t="shared" si="155"/>
        <v/>
      </c>
      <c r="Q950" s="27" t="str">
        <f t="shared" si="152"/>
        <v/>
      </c>
      <c r="R950" s="27" t="str">
        <f t="shared" si="156"/>
        <v/>
      </c>
    </row>
    <row r="951" spans="7:18" x14ac:dyDescent="0.25">
      <c r="G951" s="29" t="str">
        <f t="shared" si="153"/>
        <v>E</v>
      </c>
      <c r="I951" s="24" t="str">
        <f t="shared" si="154"/>
        <v/>
      </c>
      <c r="M951" s="27" t="str">
        <f t="shared" si="150"/>
        <v/>
      </c>
      <c r="O951" s="27" t="str">
        <f t="shared" si="151"/>
        <v/>
      </c>
      <c r="P951" s="27" t="str">
        <f t="shared" si="155"/>
        <v/>
      </c>
      <c r="Q951" s="27" t="str">
        <f t="shared" si="152"/>
        <v/>
      </c>
      <c r="R951" s="27" t="str">
        <f t="shared" si="156"/>
        <v/>
      </c>
    </row>
    <row r="952" spans="7:18" x14ac:dyDescent="0.25">
      <c r="G952" s="29" t="str">
        <f t="shared" si="153"/>
        <v>E</v>
      </c>
      <c r="I952" s="24" t="str">
        <f t="shared" si="154"/>
        <v/>
      </c>
      <c r="M952" s="27" t="str">
        <f t="shared" si="150"/>
        <v/>
      </c>
      <c r="O952" s="27" t="str">
        <f t="shared" si="151"/>
        <v/>
      </c>
      <c r="P952" s="27" t="str">
        <f t="shared" si="155"/>
        <v/>
      </c>
      <c r="Q952" s="27" t="str">
        <f t="shared" si="152"/>
        <v/>
      </c>
      <c r="R952" s="27" t="str">
        <f t="shared" si="156"/>
        <v/>
      </c>
    </row>
    <row r="953" spans="7:18" x14ac:dyDescent="0.25">
      <c r="G953" s="29" t="str">
        <f t="shared" si="153"/>
        <v>E</v>
      </c>
      <c r="I953" s="24" t="str">
        <f t="shared" si="154"/>
        <v/>
      </c>
      <c r="M953" s="27" t="str">
        <f t="shared" si="150"/>
        <v/>
      </c>
      <c r="O953" s="27" t="str">
        <f t="shared" si="151"/>
        <v/>
      </c>
      <c r="P953" s="27" t="str">
        <f t="shared" si="155"/>
        <v/>
      </c>
      <c r="Q953" s="27" t="str">
        <f t="shared" si="152"/>
        <v/>
      </c>
      <c r="R953" s="27" t="str">
        <f t="shared" si="156"/>
        <v/>
      </c>
    </row>
    <row r="954" spans="7:18" x14ac:dyDescent="0.25">
      <c r="G954" s="29" t="str">
        <f t="shared" si="153"/>
        <v>E</v>
      </c>
      <c r="I954" s="24" t="str">
        <f t="shared" si="154"/>
        <v/>
      </c>
      <c r="M954" s="27" t="str">
        <f t="shared" ref="M954:M1017" si="157">IF(L954="","",VLOOKUP(L954,$Y$4:$Z$15,2,TRUE))</f>
        <v/>
      </c>
      <c r="O954" s="27" t="str">
        <f t="shared" ref="O954:O1017" si="158">IF(N954="","",VLOOKUP(N954,$Y$4:$Z$15,2,TRUE))</f>
        <v/>
      </c>
      <c r="P954" s="27" t="str">
        <f t="shared" si="155"/>
        <v/>
      </c>
      <c r="Q954" s="27" t="str">
        <f t="shared" si="152"/>
        <v/>
      </c>
      <c r="R954" s="27" t="str">
        <f t="shared" si="156"/>
        <v/>
      </c>
    </row>
    <row r="955" spans="7:18" x14ac:dyDescent="0.25">
      <c r="G955" s="29" t="str">
        <f t="shared" si="153"/>
        <v>E</v>
      </c>
      <c r="I955" s="24" t="str">
        <f t="shared" si="154"/>
        <v/>
      </c>
      <c r="M955" s="27" t="str">
        <f t="shared" si="157"/>
        <v/>
      </c>
      <c r="O955" s="27" t="str">
        <f t="shared" si="158"/>
        <v/>
      </c>
      <c r="P955" s="27" t="str">
        <f t="shared" si="155"/>
        <v/>
      </c>
      <c r="Q955" s="27" t="str">
        <f t="shared" si="152"/>
        <v/>
      </c>
      <c r="R955" s="27" t="str">
        <f t="shared" si="156"/>
        <v/>
      </c>
    </row>
    <row r="956" spans="7:18" x14ac:dyDescent="0.25">
      <c r="G956" s="29" t="str">
        <f t="shared" si="153"/>
        <v>E</v>
      </c>
      <c r="I956" s="24" t="str">
        <f t="shared" si="154"/>
        <v/>
      </c>
      <c r="M956" s="27" t="str">
        <f t="shared" si="157"/>
        <v/>
      </c>
      <c r="O956" s="27" t="str">
        <f t="shared" si="158"/>
        <v/>
      </c>
      <c r="P956" s="27" t="str">
        <f t="shared" si="155"/>
        <v/>
      </c>
      <c r="Q956" s="27" t="str">
        <f t="shared" si="152"/>
        <v/>
      </c>
      <c r="R956" s="27" t="str">
        <f t="shared" si="156"/>
        <v/>
      </c>
    </row>
    <row r="957" spans="7:18" x14ac:dyDescent="0.25">
      <c r="G957" s="29" t="str">
        <f t="shared" si="153"/>
        <v>E</v>
      </c>
      <c r="I957" s="24" t="str">
        <f t="shared" si="154"/>
        <v/>
      </c>
      <c r="M957" s="27" t="str">
        <f t="shared" si="157"/>
        <v/>
      </c>
      <c r="O957" s="27" t="str">
        <f t="shared" si="158"/>
        <v/>
      </c>
      <c r="P957" s="27" t="str">
        <f t="shared" si="155"/>
        <v/>
      </c>
      <c r="Q957" s="27" t="str">
        <f t="shared" si="152"/>
        <v/>
      </c>
      <c r="R957" s="27" t="str">
        <f t="shared" si="156"/>
        <v/>
      </c>
    </row>
    <row r="958" spans="7:18" x14ac:dyDescent="0.25">
      <c r="G958" s="29" t="str">
        <f t="shared" si="153"/>
        <v>E</v>
      </c>
      <c r="I958" s="24" t="str">
        <f t="shared" si="154"/>
        <v/>
      </c>
      <c r="M958" s="27" t="str">
        <f t="shared" si="157"/>
        <v/>
      </c>
      <c r="O958" s="27" t="str">
        <f t="shared" si="158"/>
        <v/>
      </c>
      <c r="P958" s="27" t="str">
        <f t="shared" si="155"/>
        <v/>
      </c>
      <c r="Q958" s="27" t="str">
        <f t="shared" si="152"/>
        <v/>
      </c>
      <c r="R958" s="27" t="str">
        <f t="shared" si="156"/>
        <v/>
      </c>
    </row>
    <row r="959" spans="7:18" x14ac:dyDescent="0.25">
      <c r="G959" s="29" t="str">
        <f t="shared" si="153"/>
        <v>E</v>
      </c>
      <c r="I959" s="24" t="str">
        <f t="shared" si="154"/>
        <v/>
      </c>
      <c r="M959" s="27" t="str">
        <f t="shared" si="157"/>
        <v/>
      </c>
      <c r="O959" s="27" t="str">
        <f t="shared" si="158"/>
        <v/>
      </c>
      <c r="P959" s="27" t="str">
        <f t="shared" si="155"/>
        <v/>
      </c>
      <c r="Q959" s="27" t="str">
        <f t="shared" si="152"/>
        <v/>
      </c>
      <c r="R959" s="27" t="str">
        <f t="shared" si="156"/>
        <v/>
      </c>
    </row>
    <row r="960" spans="7:18" x14ac:dyDescent="0.25">
      <c r="G960" s="29" t="str">
        <f t="shared" si="153"/>
        <v>E</v>
      </c>
      <c r="I960" s="24" t="str">
        <f t="shared" si="154"/>
        <v/>
      </c>
      <c r="M960" s="27" t="str">
        <f t="shared" si="157"/>
        <v/>
      </c>
      <c r="O960" s="27" t="str">
        <f t="shared" si="158"/>
        <v/>
      </c>
      <c r="P960" s="27" t="str">
        <f t="shared" si="155"/>
        <v/>
      </c>
      <c r="Q960" s="27" t="str">
        <f t="shared" si="152"/>
        <v/>
      </c>
      <c r="R960" s="27" t="str">
        <f t="shared" si="156"/>
        <v/>
      </c>
    </row>
    <row r="961" spans="7:18" x14ac:dyDescent="0.25">
      <c r="G961" s="29" t="str">
        <f t="shared" si="153"/>
        <v>E</v>
      </c>
      <c r="I961" s="24" t="str">
        <f t="shared" si="154"/>
        <v/>
      </c>
      <c r="M961" s="27" t="str">
        <f t="shared" si="157"/>
        <v/>
      </c>
      <c r="O961" s="27" t="str">
        <f t="shared" si="158"/>
        <v/>
      </c>
      <c r="P961" s="27" t="str">
        <f t="shared" si="155"/>
        <v/>
      </c>
      <c r="Q961" s="27" t="str">
        <f t="shared" si="152"/>
        <v/>
      </c>
      <c r="R961" s="27" t="str">
        <f t="shared" si="156"/>
        <v/>
      </c>
    </row>
    <row r="962" spans="7:18" x14ac:dyDescent="0.25">
      <c r="G962" s="29" t="str">
        <f t="shared" si="153"/>
        <v>E</v>
      </c>
      <c r="I962" s="24" t="str">
        <f t="shared" si="154"/>
        <v/>
      </c>
      <c r="M962" s="27" t="str">
        <f t="shared" si="157"/>
        <v/>
      </c>
      <c r="O962" s="27" t="str">
        <f t="shared" si="158"/>
        <v/>
      </c>
      <c r="P962" s="27" t="str">
        <f t="shared" si="155"/>
        <v/>
      </c>
      <c r="Q962" s="27" t="str">
        <f t="shared" si="152"/>
        <v/>
      </c>
      <c r="R962" s="27" t="str">
        <f t="shared" si="156"/>
        <v/>
      </c>
    </row>
    <row r="963" spans="7:18" x14ac:dyDescent="0.25">
      <c r="G963" s="29" t="str">
        <f t="shared" si="153"/>
        <v>E</v>
      </c>
      <c r="I963" s="24" t="str">
        <f t="shared" si="154"/>
        <v/>
      </c>
      <c r="M963" s="27" t="str">
        <f t="shared" si="157"/>
        <v/>
      </c>
      <c r="O963" s="27" t="str">
        <f t="shared" si="158"/>
        <v/>
      </c>
      <c r="P963" s="27" t="str">
        <f t="shared" si="155"/>
        <v/>
      </c>
      <c r="Q963" s="27" t="str">
        <f t="shared" ref="Q963:Q1026" si="159">IF(P963="","",P963/500*12)</f>
        <v/>
      </c>
      <c r="R963" s="27" t="str">
        <f t="shared" si="156"/>
        <v/>
      </c>
    </row>
    <row r="964" spans="7:18" x14ac:dyDescent="0.25">
      <c r="G964" s="29" t="str">
        <f t="shared" si="153"/>
        <v>E</v>
      </c>
      <c r="I964" s="24" t="str">
        <f t="shared" si="154"/>
        <v/>
      </c>
      <c r="M964" s="27" t="str">
        <f t="shared" si="157"/>
        <v/>
      </c>
      <c r="O964" s="27" t="str">
        <f t="shared" si="158"/>
        <v/>
      </c>
      <c r="P964" s="27" t="str">
        <f t="shared" si="155"/>
        <v/>
      </c>
      <c r="Q964" s="27" t="str">
        <f t="shared" si="159"/>
        <v/>
      </c>
      <c r="R964" s="27" t="str">
        <f t="shared" si="156"/>
        <v/>
      </c>
    </row>
    <row r="965" spans="7:18" x14ac:dyDescent="0.25">
      <c r="G965" s="29" t="str">
        <f t="shared" ref="G965:G1028" si="160">VLOOKUP(F965,$Y$4:$Z$15,2,TRUE)</f>
        <v>E</v>
      </c>
      <c r="I965" s="24" t="str">
        <f t="shared" si="154"/>
        <v/>
      </c>
      <c r="M965" s="27" t="str">
        <f t="shared" si="157"/>
        <v/>
      </c>
      <c r="O965" s="27" t="str">
        <f t="shared" si="158"/>
        <v/>
      </c>
      <c r="P965" s="27" t="str">
        <f t="shared" si="155"/>
        <v/>
      </c>
      <c r="Q965" s="27" t="str">
        <f t="shared" si="159"/>
        <v/>
      </c>
      <c r="R965" s="27" t="str">
        <f t="shared" si="156"/>
        <v/>
      </c>
    </row>
    <row r="966" spans="7:18" x14ac:dyDescent="0.25">
      <c r="G966" s="29" t="str">
        <f t="shared" si="160"/>
        <v>E</v>
      </c>
      <c r="I966" s="24" t="str">
        <f t="shared" si="154"/>
        <v/>
      </c>
      <c r="M966" s="27" t="str">
        <f t="shared" si="157"/>
        <v/>
      </c>
      <c r="O966" s="27" t="str">
        <f t="shared" si="158"/>
        <v/>
      </c>
      <c r="P966" s="27" t="str">
        <f t="shared" si="155"/>
        <v/>
      </c>
      <c r="Q966" s="27" t="str">
        <f t="shared" si="159"/>
        <v/>
      </c>
      <c r="R966" s="27" t="str">
        <f t="shared" si="156"/>
        <v/>
      </c>
    </row>
    <row r="967" spans="7:18" x14ac:dyDescent="0.25">
      <c r="G967" s="29" t="str">
        <f t="shared" si="160"/>
        <v>E</v>
      </c>
      <c r="I967" s="24" t="str">
        <f t="shared" si="154"/>
        <v/>
      </c>
      <c r="M967" s="27" t="str">
        <f t="shared" si="157"/>
        <v/>
      </c>
      <c r="O967" s="27" t="str">
        <f t="shared" si="158"/>
        <v/>
      </c>
      <c r="P967" s="27" t="str">
        <f t="shared" si="155"/>
        <v/>
      </c>
      <c r="Q967" s="27" t="str">
        <f t="shared" si="159"/>
        <v/>
      </c>
      <c r="R967" s="27" t="str">
        <f t="shared" si="156"/>
        <v/>
      </c>
    </row>
    <row r="968" spans="7:18" x14ac:dyDescent="0.25">
      <c r="G968" s="29" t="str">
        <f t="shared" si="160"/>
        <v>E</v>
      </c>
      <c r="I968" s="24" t="str">
        <f t="shared" si="154"/>
        <v/>
      </c>
      <c r="M968" s="27" t="str">
        <f t="shared" si="157"/>
        <v/>
      </c>
      <c r="O968" s="27" t="str">
        <f t="shared" si="158"/>
        <v/>
      </c>
      <c r="P968" s="27" t="str">
        <f t="shared" si="155"/>
        <v/>
      </c>
      <c r="Q968" s="27" t="str">
        <f t="shared" si="159"/>
        <v/>
      </c>
      <c r="R968" s="27" t="str">
        <f t="shared" si="156"/>
        <v/>
      </c>
    </row>
    <row r="969" spans="7:18" x14ac:dyDescent="0.25">
      <c r="G969" s="29" t="str">
        <f t="shared" si="160"/>
        <v>E</v>
      </c>
      <c r="I969" s="24" t="str">
        <f t="shared" si="154"/>
        <v/>
      </c>
      <c r="M969" s="27" t="str">
        <f t="shared" si="157"/>
        <v/>
      </c>
      <c r="O969" s="27" t="str">
        <f t="shared" si="158"/>
        <v/>
      </c>
      <c r="P969" s="27" t="str">
        <f t="shared" si="155"/>
        <v/>
      </c>
      <c r="Q969" s="27" t="str">
        <f t="shared" si="159"/>
        <v/>
      </c>
      <c r="R969" s="27" t="str">
        <f t="shared" si="156"/>
        <v/>
      </c>
    </row>
    <row r="970" spans="7:18" x14ac:dyDescent="0.25">
      <c r="G970" s="29" t="str">
        <f t="shared" si="160"/>
        <v>E</v>
      </c>
      <c r="I970" s="24" t="str">
        <f t="shared" si="154"/>
        <v/>
      </c>
      <c r="M970" s="27" t="str">
        <f t="shared" si="157"/>
        <v/>
      </c>
      <c r="O970" s="27" t="str">
        <f t="shared" si="158"/>
        <v/>
      </c>
      <c r="P970" s="27" t="str">
        <f t="shared" si="155"/>
        <v/>
      </c>
      <c r="Q970" s="27" t="str">
        <f t="shared" si="159"/>
        <v/>
      </c>
      <c r="R970" s="27" t="str">
        <f t="shared" si="156"/>
        <v/>
      </c>
    </row>
    <row r="971" spans="7:18" x14ac:dyDescent="0.25">
      <c r="G971" s="29" t="str">
        <f t="shared" si="160"/>
        <v>E</v>
      </c>
      <c r="I971" s="24" t="str">
        <f t="shared" si="154"/>
        <v/>
      </c>
      <c r="M971" s="27" t="str">
        <f t="shared" si="157"/>
        <v/>
      </c>
      <c r="O971" s="27" t="str">
        <f t="shared" si="158"/>
        <v/>
      </c>
      <c r="P971" s="27" t="str">
        <f t="shared" si="155"/>
        <v/>
      </c>
      <c r="Q971" s="27" t="str">
        <f t="shared" si="159"/>
        <v/>
      </c>
      <c r="R971" s="27" t="str">
        <f t="shared" si="156"/>
        <v/>
      </c>
    </row>
    <row r="972" spans="7:18" x14ac:dyDescent="0.25">
      <c r="G972" s="29" t="str">
        <f t="shared" si="160"/>
        <v>E</v>
      </c>
      <c r="I972" s="24" t="str">
        <f t="shared" si="154"/>
        <v/>
      </c>
      <c r="M972" s="27" t="str">
        <f t="shared" si="157"/>
        <v/>
      </c>
      <c r="O972" s="27" t="str">
        <f t="shared" si="158"/>
        <v/>
      </c>
      <c r="P972" s="27" t="str">
        <f t="shared" si="155"/>
        <v/>
      </c>
      <c r="Q972" s="27" t="str">
        <f t="shared" si="159"/>
        <v/>
      </c>
      <c r="R972" s="27" t="str">
        <f t="shared" si="156"/>
        <v/>
      </c>
    </row>
    <row r="973" spans="7:18" x14ac:dyDescent="0.25">
      <c r="G973" s="29" t="str">
        <f t="shared" si="160"/>
        <v>E</v>
      </c>
      <c r="I973" s="24" t="str">
        <f t="shared" si="154"/>
        <v/>
      </c>
      <c r="M973" s="27" t="str">
        <f t="shared" si="157"/>
        <v/>
      </c>
      <c r="O973" s="27" t="str">
        <f t="shared" si="158"/>
        <v/>
      </c>
      <c r="P973" s="27" t="str">
        <f t="shared" si="155"/>
        <v/>
      </c>
      <c r="Q973" s="27" t="str">
        <f t="shared" si="159"/>
        <v/>
      </c>
      <c r="R973" s="27" t="str">
        <f t="shared" si="156"/>
        <v/>
      </c>
    </row>
    <row r="974" spans="7:18" x14ac:dyDescent="0.25">
      <c r="G974" s="29" t="str">
        <f t="shared" si="160"/>
        <v>E</v>
      </c>
      <c r="I974" s="24" t="str">
        <f t="shared" si="154"/>
        <v/>
      </c>
      <c r="M974" s="27" t="str">
        <f t="shared" si="157"/>
        <v/>
      </c>
      <c r="O974" s="27" t="str">
        <f t="shared" si="158"/>
        <v/>
      </c>
      <c r="P974" s="27" t="str">
        <f t="shared" si="155"/>
        <v/>
      </c>
      <c r="Q974" s="27" t="str">
        <f t="shared" si="159"/>
        <v/>
      </c>
      <c r="R974" s="27" t="str">
        <f t="shared" si="156"/>
        <v/>
      </c>
    </row>
    <row r="975" spans="7:18" x14ac:dyDescent="0.25">
      <c r="G975" s="29" t="str">
        <f t="shared" si="160"/>
        <v>E</v>
      </c>
      <c r="I975" s="24" t="str">
        <f t="shared" si="154"/>
        <v/>
      </c>
      <c r="M975" s="27" t="str">
        <f t="shared" si="157"/>
        <v/>
      </c>
      <c r="O975" s="27" t="str">
        <f t="shared" si="158"/>
        <v/>
      </c>
      <c r="P975" s="27" t="str">
        <f t="shared" si="155"/>
        <v/>
      </c>
      <c r="Q975" s="27" t="str">
        <f t="shared" si="159"/>
        <v/>
      </c>
      <c r="R975" s="27" t="str">
        <f t="shared" si="156"/>
        <v/>
      </c>
    </row>
    <row r="976" spans="7:18" x14ac:dyDescent="0.25">
      <c r="G976" s="29" t="str">
        <f t="shared" si="160"/>
        <v>E</v>
      </c>
      <c r="I976" s="24" t="str">
        <f t="shared" si="154"/>
        <v/>
      </c>
      <c r="M976" s="27" t="str">
        <f t="shared" si="157"/>
        <v/>
      </c>
      <c r="O976" s="27" t="str">
        <f t="shared" si="158"/>
        <v/>
      </c>
      <c r="P976" s="27" t="str">
        <f t="shared" si="155"/>
        <v/>
      </c>
      <c r="Q976" s="27" t="str">
        <f t="shared" si="159"/>
        <v/>
      </c>
      <c r="R976" s="27" t="str">
        <f t="shared" si="156"/>
        <v/>
      </c>
    </row>
    <row r="977" spans="7:18" x14ac:dyDescent="0.25">
      <c r="G977" s="29" t="str">
        <f t="shared" si="160"/>
        <v>E</v>
      </c>
      <c r="I977" s="24" t="str">
        <f t="shared" si="154"/>
        <v/>
      </c>
      <c r="M977" s="27" t="str">
        <f t="shared" si="157"/>
        <v/>
      </c>
      <c r="O977" s="27" t="str">
        <f t="shared" si="158"/>
        <v/>
      </c>
      <c r="P977" s="27" t="str">
        <f t="shared" si="155"/>
        <v/>
      </c>
      <c r="Q977" s="27" t="str">
        <f t="shared" si="159"/>
        <v/>
      </c>
      <c r="R977" s="27" t="str">
        <f t="shared" si="156"/>
        <v/>
      </c>
    </row>
    <row r="978" spans="7:18" x14ac:dyDescent="0.25">
      <c r="G978" s="29" t="str">
        <f t="shared" si="160"/>
        <v>E</v>
      </c>
      <c r="I978" s="24" t="str">
        <f t="shared" si="154"/>
        <v/>
      </c>
      <c r="M978" s="27" t="str">
        <f t="shared" si="157"/>
        <v/>
      </c>
      <c r="O978" s="27" t="str">
        <f t="shared" si="158"/>
        <v/>
      </c>
      <c r="P978" s="27" t="str">
        <f t="shared" si="155"/>
        <v/>
      </c>
      <c r="Q978" s="27" t="str">
        <f t="shared" si="159"/>
        <v/>
      </c>
      <c r="R978" s="27" t="str">
        <f t="shared" si="156"/>
        <v/>
      </c>
    </row>
    <row r="979" spans="7:18" x14ac:dyDescent="0.25">
      <c r="G979" s="29" t="str">
        <f t="shared" si="160"/>
        <v>E</v>
      </c>
      <c r="I979" s="24" t="str">
        <f t="shared" si="154"/>
        <v/>
      </c>
      <c r="M979" s="27" t="str">
        <f t="shared" si="157"/>
        <v/>
      </c>
      <c r="O979" s="27" t="str">
        <f t="shared" si="158"/>
        <v/>
      </c>
      <c r="P979" s="27" t="str">
        <f t="shared" si="155"/>
        <v/>
      </c>
      <c r="Q979" s="27" t="str">
        <f t="shared" si="159"/>
        <v/>
      </c>
      <c r="R979" s="27" t="str">
        <f t="shared" si="156"/>
        <v/>
      </c>
    </row>
    <row r="980" spans="7:18" x14ac:dyDescent="0.25">
      <c r="G980" s="29" t="str">
        <f t="shared" si="160"/>
        <v>E</v>
      </c>
      <c r="I980" s="24" t="str">
        <f t="shared" si="154"/>
        <v/>
      </c>
      <c r="M980" s="27" t="str">
        <f t="shared" si="157"/>
        <v/>
      </c>
      <c r="O980" s="27" t="str">
        <f t="shared" si="158"/>
        <v/>
      </c>
      <c r="P980" s="27" t="str">
        <f t="shared" si="155"/>
        <v/>
      </c>
      <c r="Q980" s="27" t="str">
        <f t="shared" si="159"/>
        <v/>
      </c>
      <c r="R980" s="27" t="str">
        <f t="shared" si="156"/>
        <v/>
      </c>
    </row>
    <row r="981" spans="7:18" x14ac:dyDescent="0.25">
      <c r="G981" s="29" t="str">
        <f t="shared" si="160"/>
        <v>E</v>
      </c>
      <c r="I981" s="24" t="str">
        <f t="shared" si="154"/>
        <v/>
      </c>
      <c r="M981" s="27" t="str">
        <f t="shared" si="157"/>
        <v/>
      </c>
      <c r="O981" s="27" t="str">
        <f t="shared" si="158"/>
        <v/>
      </c>
      <c r="P981" s="27" t="str">
        <f t="shared" si="155"/>
        <v/>
      </c>
      <c r="Q981" s="27" t="str">
        <f t="shared" si="159"/>
        <v/>
      </c>
      <c r="R981" s="27" t="str">
        <f t="shared" si="156"/>
        <v/>
      </c>
    </row>
    <row r="982" spans="7:18" x14ac:dyDescent="0.25">
      <c r="G982" s="29" t="str">
        <f t="shared" si="160"/>
        <v>E</v>
      </c>
      <c r="I982" s="24" t="str">
        <f t="shared" si="154"/>
        <v/>
      </c>
      <c r="M982" s="27" t="str">
        <f t="shared" si="157"/>
        <v/>
      </c>
      <c r="O982" s="27" t="str">
        <f t="shared" si="158"/>
        <v/>
      </c>
      <c r="P982" s="27" t="str">
        <f t="shared" si="155"/>
        <v/>
      </c>
      <c r="Q982" s="27" t="str">
        <f t="shared" si="159"/>
        <v/>
      </c>
      <c r="R982" s="27" t="str">
        <f t="shared" si="156"/>
        <v/>
      </c>
    </row>
    <row r="983" spans="7:18" x14ac:dyDescent="0.25">
      <c r="G983" s="29" t="str">
        <f t="shared" si="160"/>
        <v>E</v>
      </c>
      <c r="I983" s="24" t="str">
        <f t="shared" si="154"/>
        <v/>
      </c>
      <c r="M983" s="27" t="str">
        <f t="shared" si="157"/>
        <v/>
      </c>
      <c r="O983" s="27" t="str">
        <f t="shared" si="158"/>
        <v/>
      </c>
      <c r="P983" s="27" t="str">
        <f t="shared" si="155"/>
        <v/>
      </c>
      <c r="Q983" s="27" t="str">
        <f t="shared" si="159"/>
        <v/>
      </c>
      <c r="R983" s="27" t="str">
        <f t="shared" si="156"/>
        <v/>
      </c>
    </row>
    <row r="984" spans="7:18" x14ac:dyDescent="0.25">
      <c r="G984" s="29" t="str">
        <f t="shared" si="160"/>
        <v>E</v>
      </c>
      <c r="I984" s="24" t="str">
        <f t="shared" ref="I984:I1047" si="161">IF(H984="","",VLOOKUP(H984,$Y$4:$Z$15,2,TRUE))</f>
        <v/>
      </c>
      <c r="M984" s="27" t="str">
        <f t="shared" si="157"/>
        <v/>
      </c>
      <c r="O984" s="27" t="str">
        <f t="shared" si="158"/>
        <v/>
      </c>
      <c r="P984" s="27" t="str">
        <f t="shared" si="155"/>
        <v/>
      </c>
      <c r="Q984" s="27" t="str">
        <f t="shared" si="159"/>
        <v/>
      </c>
      <c r="R984" s="27" t="str">
        <f t="shared" si="156"/>
        <v/>
      </c>
    </row>
    <row r="985" spans="7:18" x14ac:dyDescent="0.25">
      <c r="G985" s="29" t="str">
        <f t="shared" si="160"/>
        <v>E</v>
      </c>
      <c r="I985" s="24" t="str">
        <f t="shared" si="161"/>
        <v/>
      </c>
      <c r="M985" s="27" t="str">
        <f t="shared" si="157"/>
        <v/>
      </c>
      <c r="O985" s="27" t="str">
        <f t="shared" si="158"/>
        <v/>
      </c>
      <c r="P985" s="27" t="str">
        <f t="shared" ref="P985:P1048" si="162">IF(COUNT(F985:O985)=0,"",SUM(F985:O985))</f>
        <v/>
      </c>
      <c r="Q985" s="27" t="str">
        <f t="shared" si="159"/>
        <v/>
      </c>
      <c r="R985" s="27" t="str">
        <f t="shared" si="156"/>
        <v/>
      </c>
    </row>
    <row r="986" spans="7:18" x14ac:dyDescent="0.25">
      <c r="G986" s="29" t="str">
        <f t="shared" si="160"/>
        <v>E</v>
      </c>
      <c r="I986" s="24" t="str">
        <f t="shared" si="161"/>
        <v/>
      </c>
      <c r="M986" s="27" t="str">
        <f t="shared" si="157"/>
        <v/>
      </c>
      <c r="O986" s="27" t="str">
        <f t="shared" si="158"/>
        <v/>
      </c>
      <c r="P986" s="27" t="str">
        <f t="shared" si="162"/>
        <v/>
      </c>
      <c r="Q986" s="27" t="str">
        <f t="shared" si="159"/>
        <v/>
      </c>
      <c r="R986" s="27" t="str">
        <f t="shared" si="156"/>
        <v/>
      </c>
    </row>
    <row r="987" spans="7:18" x14ac:dyDescent="0.25">
      <c r="G987" s="29" t="str">
        <f t="shared" si="160"/>
        <v>E</v>
      </c>
      <c r="I987" s="24" t="str">
        <f t="shared" si="161"/>
        <v/>
      </c>
      <c r="M987" s="27" t="str">
        <f t="shared" si="157"/>
        <v/>
      </c>
      <c r="O987" s="27" t="str">
        <f t="shared" si="158"/>
        <v/>
      </c>
      <c r="P987" s="27" t="str">
        <f t="shared" si="162"/>
        <v/>
      </c>
      <c r="Q987" s="27" t="str">
        <f t="shared" si="159"/>
        <v/>
      </c>
      <c r="R987" s="27" t="str">
        <f t="shared" si="156"/>
        <v/>
      </c>
    </row>
    <row r="988" spans="7:18" x14ac:dyDescent="0.25">
      <c r="G988" s="29" t="str">
        <f t="shared" si="160"/>
        <v>E</v>
      </c>
      <c r="I988" s="24" t="str">
        <f t="shared" si="161"/>
        <v/>
      </c>
      <c r="M988" s="27" t="str">
        <f t="shared" si="157"/>
        <v/>
      </c>
      <c r="O988" s="27" t="str">
        <f t="shared" si="158"/>
        <v/>
      </c>
      <c r="P988" s="27" t="str">
        <f t="shared" si="162"/>
        <v/>
      </c>
      <c r="Q988" s="27" t="str">
        <f t="shared" si="159"/>
        <v/>
      </c>
      <c r="R988" s="27" t="str">
        <f t="shared" si="156"/>
        <v/>
      </c>
    </row>
    <row r="989" spans="7:18" x14ac:dyDescent="0.25">
      <c r="G989" s="29" t="str">
        <f t="shared" si="160"/>
        <v>E</v>
      </c>
      <c r="I989" s="24" t="str">
        <f t="shared" si="161"/>
        <v/>
      </c>
      <c r="M989" s="27" t="str">
        <f t="shared" si="157"/>
        <v/>
      </c>
      <c r="O989" s="27" t="str">
        <f t="shared" si="158"/>
        <v/>
      </c>
      <c r="P989" s="27" t="str">
        <f t="shared" si="162"/>
        <v/>
      </c>
      <c r="Q989" s="27" t="str">
        <f t="shared" si="159"/>
        <v/>
      </c>
      <c r="R989" s="27" t="str">
        <f t="shared" si="156"/>
        <v/>
      </c>
    </row>
    <row r="990" spans="7:18" x14ac:dyDescent="0.25">
      <c r="G990" s="29" t="str">
        <f t="shared" si="160"/>
        <v>E</v>
      </c>
      <c r="I990" s="24" t="str">
        <f t="shared" si="161"/>
        <v/>
      </c>
      <c r="M990" s="27" t="str">
        <f t="shared" si="157"/>
        <v/>
      </c>
      <c r="O990" s="27" t="str">
        <f t="shared" si="158"/>
        <v/>
      </c>
      <c r="P990" s="27" t="str">
        <f t="shared" si="162"/>
        <v/>
      </c>
      <c r="Q990" s="27" t="str">
        <f t="shared" si="159"/>
        <v/>
      </c>
      <c r="R990" s="27" t="str">
        <f t="shared" si="156"/>
        <v/>
      </c>
    </row>
    <row r="991" spans="7:18" x14ac:dyDescent="0.25">
      <c r="G991" s="29" t="str">
        <f t="shared" si="160"/>
        <v>E</v>
      </c>
      <c r="I991" s="24" t="str">
        <f t="shared" si="161"/>
        <v/>
      </c>
      <c r="M991" s="27" t="str">
        <f t="shared" si="157"/>
        <v/>
      </c>
      <c r="O991" s="27" t="str">
        <f t="shared" si="158"/>
        <v/>
      </c>
      <c r="P991" s="27" t="str">
        <f t="shared" si="162"/>
        <v/>
      </c>
      <c r="Q991" s="27" t="str">
        <f t="shared" si="159"/>
        <v/>
      </c>
      <c r="R991" s="27" t="str">
        <f t="shared" ref="R991:R1018" si="163">IF(Q991="","",VLOOKUP(Q991,$W$4:$X$15,2,TRUE))</f>
        <v/>
      </c>
    </row>
    <row r="992" spans="7:18" x14ac:dyDescent="0.25">
      <c r="G992" s="29" t="str">
        <f t="shared" si="160"/>
        <v>E</v>
      </c>
      <c r="I992" s="24" t="str">
        <f t="shared" si="161"/>
        <v/>
      </c>
      <c r="M992" s="27" t="str">
        <f t="shared" si="157"/>
        <v/>
      </c>
      <c r="O992" s="27" t="str">
        <f t="shared" si="158"/>
        <v/>
      </c>
      <c r="P992" s="27" t="str">
        <f t="shared" si="162"/>
        <v/>
      </c>
      <c r="Q992" s="27" t="str">
        <f t="shared" si="159"/>
        <v/>
      </c>
      <c r="R992" s="27" t="str">
        <f t="shared" si="163"/>
        <v/>
      </c>
    </row>
    <row r="993" spans="7:18" x14ac:dyDescent="0.25">
      <c r="G993" s="29" t="str">
        <f t="shared" si="160"/>
        <v>E</v>
      </c>
      <c r="I993" s="24" t="str">
        <f t="shared" si="161"/>
        <v/>
      </c>
      <c r="M993" s="27" t="str">
        <f t="shared" si="157"/>
        <v/>
      </c>
      <c r="O993" s="27" t="str">
        <f t="shared" si="158"/>
        <v/>
      </c>
      <c r="P993" s="27" t="str">
        <f t="shared" si="162"/>
        <v/>
      </c>
      <c r="Q993" s="27" t="str">
        <f t="shared" si="159"/>
        <v/>
      </c>
      <c r="R993" s="27" t="str">
        <f t="shared" si="163"/>
        <v/>
      </c>
    </row>
    <row r="994" spans="7:18" x14ac:dyDescent="0.25">
      <c r="G994" s="29" t="str">
        <f t="shared" si="160"/>
        <v>E</v>
      </c>
      <c r="I994" s="24" t="str">
        <f t="shared" si="161"/>
        <v/>
      </c>
      <c r="M994" s="27" t="str">
        <f t="shared" si="157"/>
        <v/>
      </c>
      <c r="O994" s="27" t="str">
        <f t="shared" si="158"/>
        <v/>
      </c>
      <c r="P994" s="27" t="str">
        <f t="shared" si="162"/>
        <v/>
      </c>
      <c r="Q994" s="27" t="str">
        <f t="shared" si="159"/>
        <v/>
      </c>
      <c r="R994" s="27" t="str">
        <f t="shared" si="163"/>
        <v/>
      </c>
    </row>
    <row r="995" spans="7:18" x14ac:dyDescent="0.25">
      <c r="G995" s="29" t="str">
        <f t="shared" si="160"/>
        <v>E</v>
      </c>
      <c r="I995" s="24" t="str">
        <f t="shared" si="161"/>
        <v/>
      </c>
      <c r="M995" s="27" t="str">
        <f t="shared" si="157"/>
        <v/>
      </c>
      <c r="O995" s="27" t="str">
        <f t="shared" si="158"/>
        <v/>
      </c>
      <c r="P995" s="27" t="str">
        <f t="shared" si="162"/>
        <v/>
      </c>
      <c r="Q995" s="27" t="str">
        <f t="shared" si="159"/>
        <v/>
      </c>
      <c r="R995" s="27" t="str">
        <f t="shared" si="163"/>
        <v/>
      </c>
    </row>
    <row r="996" spans="7:18" x14ac:dyDescent="0.25">
      <c r="G996" s="29" t="str">
        <f t="shared" si="160"/>
        <v>E</v>
      </c>
      <c r="I996" s="24" t="str">
        <f t="shared" si="161"/>
        <v/>
      </c>
      <c r="M996" s="27" t="str">
        <f t="shared" si="157"/>
        <v/>
      </c>
      <c r="O996" s="27" t="str">
        <f t="shared" si="158"/>
        <v/>
      </c>
      <c r="P996" s="27" t="str">
        <f t="shared" si="162"/>
        <v/>
      </c>
      <c r="Q996" s="27" t="str">
        <f t="shared" si="159"/>
        <v/>
      </c>
      <c r="R996" s="27" t="str">
        <f t="shared" si="163"/>
        <v/>
      </c>
    </row>
    <row r="997" spans="7:18" x14ac:dyDescent="0.25">
      <c r="G997" s="29" t="str">
        <f t="shared" si="160"/>
        <v>E</v>
      </c>
      <c r="I997" s="24" t="str">
        <f t="shared" si="161"/>
        <v/>
      </c>
      <c r="M997" s="27" t="str">
        <f t="shared" si="157"/>
        <v/>
      </c>
      <c r="O997" s="27" t="str">
        <f t="shared" si="158"/>
        <v/>
      </c>
      <c r="P997" s="27" t="str">
        <f t="shared" si="162"/>
        <v/>
      </c>
      <c r="Q997" s="27" t="str">
        <f t="shared" si="159"/>
        <v/>
      </c>
      <c r="R997" s="27" t="str">
        <f t="shared" si="163"/>
        <v/>
      </c>
    </row>
    <row r="998" spans="7:18" x14ac:dyDescent="0.25">
      <c r="G998" s="29" t="str">
        <f t="shared" si="160"/>
        <v>E</v>
      </c>
      <c r="I998" s="24" t="str">
        <f t="shared" si="161"/>
        <v/>
      </c>
      <c r="M998" s="27" t="str">
        <f t="shared" si="157"/>
        <v/>
      </c>
      <c r="O998" s="27" t="str">
        <f t="shared" si="158"/>
        <v/>
      </c>
      <c r="P998" s="27" t="str">
        <f t="shared" si="162"/>
        <v/>
      </c>
      <c r="Q998" s="27" t="str">
        <f t="shared" si="159"/>
        <v/>
      </c>
      <c r="R998" s="27" t="str">
        <f t="shared" si="163"/>
        <v/>
      </c>
    </row>
    <row r="999" spans="7:18" x14ac:dyDescent="0.25">
      <c r="G999" s="29" t="str">
        <f t="shared" si="160"/>
        <v>E</v>
      </c>
      <c r="I999" s="24" t="str">
        <f t="shared" si="161"/>
        <v/>
      </c>
      <c r="M999" s="27" t="str">
        <f t="shared" si="157"/>
        <v/>
      </c>
      <c r="O999" s="27" t="str">
        <f t="shared" si="158"/>
        <v/>
      </c>
      <c r="P999" s="27" t="str">
        <f t="shared" si="162"/>
        <v/>
      </c>
      <c r="Q999" s="27" t="str">
        <f t="shared" si="159"/>
        <v/>
      </c>
      <c r="R999" s="27" t="str">
        <f t="shared" si="163"/>
        <v/>
      </c>
    </row>
    <row r="1000" spans="7:18" x14ac:dyDescent="0.25">
      <c r="G1000" s="29" t="str">
        <f t="shared" si="160"/>
        <v>E</v>
      </c>
      <c r="I1000" s="24" t="str">
        <f t="shared" si="161"/>
        <v/>
      </c>
      <c r="M1000" s="27" t="str">
        <f t="shared" si="157"/>
        <v/>
      </c>
      <c r="O1000" s="27" t="str">
        <f t="shared" si="158"/>
        <v/>
      </c>
      <c r="P1000" s="27" t="str">
        <f t="shared" si="162"/>
        <v/>
      </c>
      <c r="Q1000" s="27" t="str">
        <f t="shared" si="159"/>
        <v/>
      </c>
      <c r="R1000" s="27" t="str">
        <f t="shared" si="163"/>
        <v/>
      </c>
    </row>
    <row r="1001" spans="7:18" x14ac:dyDescent="0.25">
      <c r="G1001" s="29" t="str">
        <f t="shared" si="160"/>
        <v>E</v>
      </c>
      <c r="I1001" s="24" t="str">
        <f t="shared" si="161"/>
        <v/>
      </c>
      <c r="M1001" s="27" t="str">
        <f t="shared" si="157"/>
        <v/>
      </c>
      <c r="O1001" s="27" t="str">
        <f t="shared" si="158"/>
        <v/>
      </c>
      <c r="P1001" s="27" t="str">
        <f t="shared" si="162"/>
        <v/>
      </c>
      <c r="Q1001" s="27" t="str">
        <f t="shared" si="159"/>
        <v/>
      </c>
      <c r="R1001" s="27" t="str">
        <f t="shared" si="163"/>
        <v/>
      </c>
    </row>
    <row r="1002" spans="7:18" x14ac:dyDescent="0.25">
      <c r="G1002" s="29" t="str">
        <f t="shared" si="160"/>
        <v>E</v>
      </c>
      <c r="I1002" s="24" t="str">
        <f t="shared" si="161"/>
        <v/>
      </c>
      <c r="M1002" s="27" t="str">
        <f t="shared" si="157"/>
        <v/>
      </c>
      <c r="O1002" s="27" t="str">
        <f t="shared" si="158"/>
        <v/>
      </c>
      <c r="P1002" s="27" t="str">
        <f t="shared" si="162"/>
        <v/>
      </c>
      <c r="Q1002" s="27" t="str">
        <f t="shared" si="159"/>
        <v/>
      </c>
      <c r="R1002" s="27" t="str">
        <f t="shared" si="163"/>
        <v/>
      </c>
    </row>
    <row r="1003" spans="7:18" x14ac:dyDescent="0.25">
      <c r="G1003" s="29" t="str">
        <f t="shared" si="160"/>
        <v>E</v>
      </c>
      <c r="I1003" s="24" t="str">
        <f t="shared" si="161"/>
        <v/>
      </c>
      <c r="M1003" s="27" t="str">
        <f t="shared" si="157"/>
        <v/>
      </c>
      <c r="O1003" s="27" t="str">
        <f t="shared" si="158"/>
        <v/>
      </c>
      <c r="P1003" s="27" t="str">
        <f t="shared" si="162"/>
        <v/>
      </c>
      <c r="Q1003" s="27" t="str">
        <f t="shared" si="159"/>
        <v/>
      </c>
      <c r="R1003" s="27" t="str">
        <f t="shared" si="163"/>
        <v/>
      </c>
    </row>
    <row r="1004" spans="7:18" x14ac:dyDescent="0.25">
      <c r="G1004" s="29" t="str">
        <f t="shared" si="160"/>
        <v>E</v>
      </c>
      <c r="I1004" s="24" t="str">
        <f t="shared" si="161"/>
        <v/>
      </c>
      <c r="M1004" s="27" t="str">
        <f t="shared" si="157"/>
        <v/>
      </c>
      <c r="O1004" s="27" t="str">
        <f t="shared" si="158"/>
        <v/>
      </c>
      <c r="P1004" s="27" t="str">
        <f t="shared" si="162"/>
        <v/>
      </c>
      <c r="Q1004" s="27" t="str">
        <f t="shared" si="159"/>
        <v/>
      </c>
      <c r="R1004" s="27" t="str">
        <f t="shared" si="163"/>
        <v/>
      </c>
    </row>
    <row r="1005" spans="7:18" x14ac:dyDescent="0.25">
      <c r="G1005" s="29" t="str">
        <f t="shared" si="160"/>
        <v>E</v>
      </c>
      <c r="I1005" s="24" t="str">
        <f t="shared" si="161"/>
        <v/>
      </c>
      <c r="M1005" s="27" t="str">
        <f t="shared" si="157"/>
        <v/>
      </c>
      <c r="O1005" s="27" t="str">
        <f t="shared" si="158"/>
        <v/>
      </c>
      <c r="P1005" s="27" t="str">
        <f t="shared" si="162"/>
        <v/>
      </c>
      <c r="Q1005" s="27" t="str">
        <f t="shared" si="159"/>
        <v/>
      </c>
      <c r="R1005" s="27" t="str">
        <f t="shared" si="163"/>
        <v/>
      </c>
    </row>
    <row r="1006" spans="7:18" x14ac:dyDescent="0.25">
      <c r="G1006" s="29" t="str">
        <f t="shared" si="160"/>
        <v>E</v>
      </c>
      <c r="I1006" s="27" t="str">
        <f t="shared" si="161"/>
        <v/>
      </c>
      <c r="M1006" s="27" t="str">
        <f t="shared" si="157"/>
        <v/>
      </c>
      <c r="O1006" s="27" t="str">
        <f t="shared" si="158"/>
        <v/>
      </c>
      <c r="P1006" s="27" t="str">
        <f t="shared" si="162"/>
        <v/>
      </c>
      <c r="Q1006" s="27" t="str">
        <f t="shared" si="159"/>
        <v/>
      </c>
      <c r="R1006" s="27" t="str">
        <f t="shared" si="163"/>
        <v/>
      </c>
    </row>
    <row r="1007" spans="7:18" x14ac:dyDescent="0.25">
      <c r="G1007" s="29" t="str">
        <f t="shared" si="160"/>
        <v>E</v>
      </c>
      <c r="I1007" s="27" t="str">
        <f t="shared" si="161"/>
        <v/>
      </c>
      <c r="M1007" s="27" t="str">
        <f t="shared" si="157"/>
        <v/>
      </c>
      <c r="O1007" s="27" t="str">
        <f t="shared" si="158"/>
        <v/>
      </c>
      <c r="P1007" s="27" t="str">
        <f t="shared" si="162"/>
        <v/>
      </c>
      <c r="Q1007" s="27" t="str">
        <f t="shared" si="159"/>
        <v/>
      </c>
      <c r="R1007" s="27" t="str">
        <f t="shared" si="163"/>
        <v/>
      </c>
    </row>
    <row r="1008" spans="7:18" x14ac:dyDescent="0.25">
      <c r="G1008" s="29" t="str">
        <f t="shared" si="160"/>
        <v>E</v>
      </c>
      <c r="I1008" s="27" t="str">
        <f t="shared" si="161"/>
        <v/>
      </c>
      <c r="M1008" s="27" t="str">
        <f t="shared" si="157"/>
        <v/>
      </c>
      <c r="O1008" s="27" t="str">
        <f t="shared" si="158"/>
        <v/>
      </c>
      <c r="P1008" s="27" t="str">
        <f t="shared" si="162"/>
        <v/>
      </c>
      <c r="Q1008" s="27" t="str">
        <f t="shared" si="159"/>
        <v/>
      </c>
      <c r="R1008" s="27" t="str">
        <f t="shared" si="163"/>
        <v/>
      </c>
    </row>
    <row r="1009" spans="7:18" x14ac:dyDescent="0.25">
      <c r="G1009" s="29" t="str">
        <f t="shared" si="160"/>
        <v>E</v>
      </c>
      <c r="I1009" s="27" t="str">
        <f t="shared" si="161"/>
        <v/>
      </c>
      <c r="M1009" s="27" t="str">
        <f t="shared" si="157"/>
        <v/>
      </c>
      <c r="O1009" s="27" t="str">
        <f t="shared" si="158"/>
        <v/>
      </c>
      <c r="P1009" s="27" t="str">
        <f t="shared" si="162"/>
        <v/>
      </c>
      <c r="Q1009" s="27" t="str">
        <f t="shared" si="159"/>
        <v/>
      </c>
      <c r="R1009" s="27" t="str">
        <f t="shared" si="163"/>
        <v/>
      </c>
    </row>
    <row r="1010" spans="7:18" x14ac:dyDescent="0.25">
      <c r="G1010" s="29" t="str">
        <f t="shared" si="160"/>
        <v>E</v>
      </c>
      <c r="I1010" s="27" t="str">
        <f t="shared" si="161"/>
        <v/>
      </c>
      <c r="M1010" s="27" t="str">
        <f t="shared" si="157"/>
        <v/>
      </c>
      <c r="O1010" s="27" t="str">
        <f t="shared" si="158"/>
        <v/>
      </c>
      <c r="P1010" s="27" t="str">
        <f t="shared" si="162"/>
        <v/>
      </c>
      <c r="Q1010" s="27" t="str">
        <f t="shared" si="159"/>
        <v/>
      </c>
      <c r="R1010" s="27" t="str">
        <f t="shared" si="163"/>
        <v/>
      </c>
    </row>
    <row r="1011" spans="7:18" x14ac:dyDescent="0.25">
      <c r="G1011" s="29" t="str">
        <f t="shared" si="160"/>
        <v>E</v>
      </c>
      <c r="I1011" s="27" t="str">
        <f t="shared" si="161"/>
        <v/>
      </c>
      <c r="M1011" s="27" t="str">
        <f t="shared" si="157"/>
        <v/>
      </c>
      <c r="O1011" s="27" t="str">
        <f t="shared" si="158"/>
        <v/>
      </c>
      <c r="P1011" s="27" t="str">
        <f t="shared" si="162"/>
        <v/>
      </c>
      <c r="Q1011" s="27" t="str">
        <f t="shared" si="159"/>
        <v/>
      </c>
      <c r="R1011" s="27" t="str">
        <f t="shared" si="163"/>
        <v/>
      </c>
    </row>
    <row r="1012" spans="7:18" x14ac:dyDescent="0.25">
      <c r="G1012" s="29" t="str">
        <f t="shared" si="160"/>
        <v>E</v>
      </c>
      <c r="I1012" s="27" t="str">
        <f t="shared" si="161"/>
        <v/>
      </c>
      <c r="M1012" s="27" t="str">
        <f t="shared" si="157"/>
        <v/>
      </c>
      <c r="O1012" s="27" t="str">
        <f t="shared" si="158"/>
        <v/>
      </c>
      <c r="P1012" s="27" t="str">
        <f t="shared" si="162"/>
        <v/>
      </c>
      <c r="Q1012" s="27" t="str">
        <f t="shared" si="159"/>
        <v/>
      </c>
      <c r="R1012" s="27" t="str">
        <f t="shared" si="163"/>
        <v/>
      </c>
    </row>
    <row r="1013" spans="7:18" x14ac:dyDescent="0.25">
      <c r="G1013" s="29" t="str">
        <f t="shared" si="160"/>
        <v>E</v>
      </c>
      <c r="I1013" s="27" t="str">
        <f t="shared" si="161"/>
        <v/>
      </c>
      <c r="M1013" s="27" t="str">
        <f t="shared" si="157"/>
        <v/>
      </c>
      <c r="O1013" s="27" t="str">
        <f t="shared" si="158"/>
        <v/>
      </c>
      <c r="P1013" s="27" t="str">
        <f t="shared" si="162"/>
        <v/>
      </c>
      <c r="Q1013" s="27" t="str">
        <f t="shared" si="159"/>
        <v/>
      </c>
      <c r="R1013" s="27" t="str">
        <f t="shared" si="163"/>
        <v/>
      </c>
    </row>
    <row r="1014" spans="7:18" x14ac:dyDescent="0.25">
      <c r="G1014" s="29" t="str">
        <f t="shared" si="160"/>
        <v>E</v>
      </c>
      <c r="I1014" s="27" t="str">
        <f t="shared" si="161"/>
        <v/>
      </c>
      <c r="M1014" s="27" t="str">
        <f t="shared" si="157"/>
        <v/>
      </c>
      <c r="O1014" s="27" t="str">
        <f t="shared" si="158"/>
        <v/>
      </c>
      <c r="P1014" s="27" t="str">
        <f t="shared" si="162"/>
        <v/>
      </c>
      <c r="Q1014" s="27" t="str">
        <f t="shared" si="159"/>
        <v/>
      </c>
      <c r="R1014" s="27" t="str">
        <f t="shared" si="163"/>
        <v/>
      </c>
    </row>
    <row r="1015" spans="7:18" x14ac:dyDescent="0.25">
      <c r="G1015" s="29" t="str">
        <f t="shared" si="160"/>
        <v>E</v>
      </c>
      <c r="I1015" s="27" t="str">
        <f t="shared" si="161"/>
        <v/>
      </c>
      <c r="M1015" s="27" t="str">
        <f t="shared" si="157"/>
        <v/>
      </c>
      <c r="O1015" s="27" t="str">
        <f t="shared" si="158"/>
        <v/>
      </c>
      <c r="P1015" s="27" t="str">
        <f t="shared" si="162"/>
        <v/>
      </c>
      <c r="Q1015" s="27" t="str">
        <f t="shared" si="159"/>
        <v/>
      </c>
      <c r="R1015" s="27" t="str">
        <f t="shared" si="163"/>
        <v/>
      </c>
    </row>
    <row r="1016" spans="7:18" x14ac:dyDescent="0.25">
      <c r="G1016" s="29" t="str">
        <f t="shared" si="160"/>
        <v>E</v>
      </c>
      <c r="I1016" s="27" t="str">
        <f t="shared" si="161"/>
        <v/>
      </c>
      <c r="M1016" s="27" t="str">
        <f t="shared" si="157"/>
        <v/>
      </c>
      <c r="O1016" s="27" t="str">
        <f t="shared" si="158"/>
        <v/>
      </c>
      <c r="P1016" s="27" t="str">
        <f t="shared" si="162"/>
        <v/>
      </c>
      <c r="Q1016" s="27" t="str">
        <f t="shared" si="159"/>
        <v/>
      </c>
      <c r="R1016" s="27" t="str">
        <f t="shared" si="163"/>
        <v/>
      </c>
    </row>
    <row r="1017" spans="7:18" x14ac:dyDescent="0.25">
      <c r="G1017" s="29" t="str">
        <f t="shared" si="160"/>
        <v>E</v>
      </c>
      <c r="I1017" s="27" t="str">
        <f t="shared" si="161"/>
        <v/>
      </c>
      <c r="M1017" s="27" t="str">
        <f t="shared" si="157"/>
        <v/>
      </c>
      <c r="O1017" s="27" t="str">
        <f t="shared" si="158"/>
        <v/>
      </c>
      <c r="P1017" s="27" t="str">
        <f t="shared" si="162"/>
        <v/>
      </c>
      <c r="Q1017" s="27" t="str">
        <f t="shared" si="159"/>
        <v/>
      </c>
      <c r="R1017" s="27" t="str">
        <f t="shared" si="163"/>
        <v/>
      </c>
    </row>
    <row r="1018" spans="7:18" x14ac:dyDescent="0.25">
      <c r="G1018" s="29" t="str">
        <f t="shared" si="160"/>
        <v>E</v>
      </c>
      <c r="I1018" s="27" t="str">
        <f t="shared" si="161"/>
        <v/>
      </c>
      <c r="M1018" s="27" t="str">
        <f t="shared" ref="M1018:M1081" si="164">IF(L1018="","",VLOOKUP(L1018,$Y$4:$Z$15,2,TRUE))</f>
        <v/>
      </c>
      <c r="O1018" s="27" t="str">
        <f t="shared" ref="O1018:O1081" si="165">IF(N1018="","",VLOOKUP(N1018,$Y$4:$Z$15,2,TRUE))</f>
        <v/>
      </c>
      <c r="P1018" s="27" t="str">
        <f t="shared" si="162"/>
        <v/>
      </c>
      <c r="Q1018" s="27" t="str">
        <f t="shared" si="159"/>
        <v/>
      </c>
      <c r="R1018" s="27" t="str">
        <f t="shared" si="163"/>
        <v/>
      </c>
    </row>
    <row r="1019" spans="7:18" x14ac:dyDescent="0.25">
      <c r="G1019" s="29" t="str">
        <f t="shared" si="160"/>
        <v>E</v>
      </c>
      <c r="I1019" s="27" t="str">
        <f t="shared" si="161"/>
        <v/>
      </c>
      <c r="M1019" s="27" t="str">
        <f t="shared" si="164"/>
        <v/>
      </c>
      <c r="O1019" s="27" t="str">
        <f t="shared" si="165"/>
        <v/>
      </c>
      <c r="P1019" s="27" t="str">
        <f t="shared" si="162"/>
        <v/>
      </c>
      <c r="Q1019" s="27" t="str">
        <f t="shared" si="159"/>
        <v/>
      </c>
    </row>
    <row r="1020" spans="7:18" x14ac:dyDescent="0.25">
      <c r="G1020" s="29" t="str">
        <f t="shared" si="160"/>
        <v>E</v>
      </c>
      <c r="I1020" s="27" t="str">
        <f t="shared" si="161"/>
        <v/>
      </c>
      <c r="M1020" s="27" t="str">
        <f t="shared" si="164"/>
        <v/>
      </c>
      <c r="O1020" s="27" t="str">
        <f t="shared" si="165"/>
        <v/>
      </c>
      <c r="P1020" s="27" t="str">
        <f t="shared" si="162"/>
        <v/>
      </c>
      <c r="Q1020" s="27" t="str">
        <f t="shared" si="159"/>
        <v/>
      </c>
    </row>
    <row r="1021" spans="7:18" x14ac:dyDescent="0.25">
      <c r="G1021" s="29" t="str">
        <f t="shared" si="160"/>
        <v>E</v>
      </c>
      <c r="I1021" s="27" t="str">
        <f t="shared" si="161"/>
        <v/>
      </c>
      <c r="M1021" s="27" t="str">
        <f t="shared" si="164"/>
        <v/>
      </c>
      <c r="O1021" s="27" t="str">
        <f t="shared" si="165"/>
        <v/>
      </c>
      <c r="P1021" s="27" t="str">
        <f t="shared" si="162"/>
        <v/>
      </c>
      <c r="Q1021" s="27" t="str">
        <f t="shared" si="159"/>
        <v/>
      </c>
    </row>
    <row r="1022" spans="7:18" x14ac:dyDescent="0.25">
      <c r="G1022" s="29" t="str">
        <f t="shared" si="160"/>
        <v>E</v>
      </c>
      <c r="I1022" s="27" t="str">
        <f t="shared" si="161"/>
        <v/>
      </c>
      <c r="M1022" s="27" t="str">
        <f t="shared" si="164"/>
        <v/>
      </c>
      <c r="O1022" s="27" t="str">
        <f t="shared" si="165"/>
        <v/>
      </c>
      <c r="P1022" s="27" t="str">
        <f t="shared" si="162"/>
        <v/>
      </c>
      <c r="Q1022" s="27" t="str">
        <f t="shared" si="159"/>
        <v/>
      </c>
    </row>
    <row r="1023" spans="7:18" x14ac:dyDescent="0.25">
      <c r="G1023" s="29" t="str">
        <f t="shared" si="160"/>
        <v>E</v>
      </c>
      <c r="I1023" s="27" t="str">
        <f t="shared" si="161"/>
        <v/>
      </c>
      <c r="M1023" s="27" t="str">
        <f t="shared" si="164"/>
        <v/>
      </c>
      <c r="O1023" s="27" t="str">
        <f t="shared" si="165"/>
        <v/>
      </c>
      <c r="P1023" s="27" t="str">
        <f t="shared" si="162"/>
        <v/>
      </c>
      <c r="Q1023" s="27" t="str">
        <f t="shared" si="159"/>
        <v/>
      </c>
    </row>
    <row r="1024" spans="7:18" x14ac:dyDescent="0.25">
      <c r="G1024" s="29" t="str">
        <f t="shared" si="160"/>
        <v>E</v>
      </c>
      <c r="I1024" s="27" t="str">
        <f t="shared" si="161"/>
        <v/>
      </c>
      <c r="M1024" s="27" t="str">
        <f t="shared" si="164"/>
        <v/>
      </c>
      <c r="O1024" s="27" t="str">
        <f t="shared" si="165"/>
        <v/>
      </c>
      <c r="P1024" s="27" t="str">
        <f t="shared" si="162"/>
        <v/>
      </c>
      <c r="Q1024" s="27" t="str">
        <f t="shared" si="159"/>
        <v/>
      </c>
    </row>
    <row r="1025" spans="7:17" x14ac:dyDescent="0.25">
      <c r="G1025" s="29" t="str">
        <f t="shared" si="160"/>
        <v>E</v>
      </c>
      <c r="I1025" s="27" t="str">
        <f t="shared" si="161"/>
        <v/>
      </c>
      <c r="M1025" s="27" t="str">
        <f t="shared" si="164"/>
        <v/>
      </c>
      <c r="O1025" s="27" t="str">
        <f t="shared" si="165"/>
        <v/>
      </c>
      <c r="P1025" s="27" t="str">
        <f t="shared" si="162"/>
        <v/>
      </c>
      <c r="Q1025" s="27" t="str">
        <f t="shared" si="159"/>
        <v/>
      </c>
    </row>
    <row r="1026" spans="7:17" x14ac:dyDescent="0.25">
      <c r="G1026" s="29" t="str">
        <f t="shared" si="160"/>
        <v>E</v>
      </c>
      <c r="I1026" s="27" t="str">
        <f t="shared" si="161"/>
        <v/>
      </c>
      <c r="M1026" s="27" t="str">
        <f t="shared" si="164"/>
        <v/>
      </c>
      <c r="O1026" s="27" t="str">
        <f t="shared" si="165"/>
        <v/>
      </c>
      <c r="P1026" s="27" t="str">
        <f t="shared" si="162"/>
        <v/>
      </c>
      <c r="Q1026" s="27" t="str">
        <f t="shared" si="159"/>
        <v/>
      </c>
    </row>
    <row r="1027" spans="7:17" x14ac:dyDescent="0.25">
      <c r="G1027" s="29" t="str">
        <f t="shared" si="160"/>
        <v>E</v>
      </c>
      <c r="I1027" s="27" t="str">
        <f t="shared" si="161"/>
        <v/>
      </c>
      <c r="M1027" s="27" t="str">
        <f t="shared" si="164"/>
        <v/>
      </c>
      <c r="O1027" s="27" t="str">
        <f t="shared" si="165"/>
        <v/>
      </c>
      <c r="P1027" s="27" t="str">
        <f t="shared" si="162"/>
        <v/>
      </c>
      <c r="Q1027" s="27" t="str">
        <f t="shared" ref="Q1027:Q1090" si="166">IF(P1027="","",P1027/500*12)</f>
        <v/>
      </c>
    </row>
    <row r="1028" spans="7:17" x14ac:dyDescent="0.25">
      <c r="G1028" s="29" t="str">
        <f t="shared" si="160"/>
        <v>E</v>
      </c>
      <c r="I1028" s="27" t="str">
        <f t="shared" si="161"/>
        <v/>
      </c>
      <c r="M1028" s="27" t="str">
        <f t="shared" si="164"/>
        <v/>
      </c>
      <c r="O1028" s="27" t="str">
        <f t="shared" si="165"/>
        <v/>
      </c>
      <c r="P1028" s="27" t="str">
        <f t="shared" si="162"/>
        <v/>
      </c>
      <c r="Q1028" s="27" t="str">
        <f t="shared" si="166"/>
        <v/>
      </c>
    </row>
    <row r="1029" spans="7:17" x14ac:dyDescent="0.25">
      <c r="G1029" s="29" t="str">
        <f t="shared" ref="G1029:G1092" si="167">VLOOKUP(F1029,$Y$4:$Z$15,2,TRUE)</f>
        <v>E</v>
      </c>
      <c r="I1029" s="27" t="str">
        <f t="shared" si="161"/>
        <v/>
      </c>
      <c r="M1029" s="27" t="str">
        <f t="shared" si="164"/>
        <v/>
      </c>
      <c r="O1029" s="27" t="str">
        <f t="shared" si="165"/>
        <v/>
      </c>
      <c r="P1029" s="27" t="str">
        <f t="shared" si="162"/>
        <v/>
      </c>
      <c r="Q1029" s="27" t="str">
        <f t="shared" si="166"/>
        <v/>
      </c>
    </row>
    <row r="1030" spans="7:17" x14ac:dyDescent="0.25">
      <c r="G1030" s="29" t="str">
        <f t="shared" si="167"/>
        <v>E</v>
      </c>
      <c r="I1030" s="27" t="str">
        <f t="shared" si="161"/>
        <v/>
      </c>
      <c r="M1030" s="27" t="str">
        <f t="shared" si="164"/>
        <v/>
      </c>
      <c r="O1030" s="27" t="str">
        <f t="shared" si="165"/>
        <v/>
      </c>
      <c r="P1030" s="27" t="str">
        <f t="shared" si="162"/>
        <v/>
      </c>
      <c r="Q1030" s="27" t="str">
        <f t="shared" si="166"/>
        <v/>
      </c>
    </row>
    <row r="1031" spans="7:17" x14ac:dyDescent="0.25">
      <c r="G1031" s="29" t="str">
        <f t="shared" si="167"/>
        <v>E</v>
      </c>
      <c r="I1031" s="27" t="str">
        <f t="shared" si="161"/>
        <v/>
      </c>
      <c r="M1031" s="27" t="str">
        <f t="shared" si="164"/>
        <v/>
      </c>
      <c r="O1031" s="27" t="str">
        <f t="shared" si="165"/>
        <v/>
      </c>
      <c r="P1031" s="27" t="str">
        <f t="shared" si="162"/>
        <v/>
      </c>
      <c r="Q1031" s="27" t="str">
        <f t="shared" si="166"/>
        <v/>
      </c>
    </row>
    <row r="1032" spans="7:17" x14ac:dyDescent="0.25">
      <c r="G1032" s="29" t="str">
        <f t="shared" si="167"/>
        <v>E</v>
      </c>
      <c r="I1032" s="27" t="str">
        <f t="shared" si="161"/>
        <v/>
      </c>
      <c r="M1032" s="27" t="str">
        <f t="shared" si="164"/>
        <v/>
      </c>
      <c r="O1032" s="27" t="str">
        <f t="shared" si="165"/>
        <v/>
      </c>
      <c r="P1032" s="27" t="str">
        <f t="shared" si="162"/>
        <v/>
      </c>
      <c r="Q1032" s="27" t="str">
        <f t="shared" si="166"/>
        <v/>
      </c>
    </row>
    <row r="1033" spans="7:17" x14ac:dyDescent="0.25">
      <c r="G1033" s="29" t="str">
        <f t="shared" si="167"/>
        <v>E</v>
      </c>
      <c r="I1033" s="27" t="str">
        <f t="shared" si="161"/>
        <v/>
      </c>
      <c r="M1033" s="27" t="str">
        <f t="shared" si="164"/>
        <v/>
      </c>
      <c r="O1033" s="27" t="str">
        <f t="shared" si="165"/>
        <v/>
      </c>
      <c r="P1033" s="27" t="str">
        <f t="shared" si="162"/>
        <v/>
      </c>
      <c r="Q1033" s="27" t="str">
        <f t="shared" si="166"/>
        <v/>
      </c>
    </row>
    <row r="1034" spans="7:17" x14ac:dyDescent="0.25">
      <c r="G1034" s="29" t="str">
        <f t="shared" si="167"/>
        <v>E</v>
      </c>
      <c r="I1034" s="27" t="str">
        <f t="shared" si="161"/>
        <v/>
      </c>
      <c r="M1034" s="27" t="str">
        <f t="shared" si="164"/>
        <v/>
      </c>
      <c r="O1034" s="27" t="str">
        <f t="shared" si="165"/>
        <v/>
      </c>
      <c r="P1034" s="27" t="str">
        <f t="shared" si="162"/>
        <v/>
      </c>
      <c r="Q1034" s="27" t="str">
        <f t="shared" si="166"/>
        <v/>
      </c>
    </row>
    <row r="1035" spans="7:17" x14ac:dyDescent="0.25">
      <c r="G1035" s="29" t="str">
        <f t="shared" si="167"/>
        <v>E</v>
      </c>
      <c r="I1035" s="27" t="str">
        <f t="shared" si="161"/>
        <v/>
      </c>
      <c r="M1035" s="27" t="str">
        <f t="shared" si="164"/>
        <v/>
      </c>
      <c r="O1035" s="27" t="str">
        <f t="shared" si="165"/>
        <v/>
      </c>
      <c r="P1035" s="27" t="str">
        <f t="shared" si="162"/>
        <v/>
      </c>
      <c r="Q1035" s="27" t="str">
        <f t="shared" si="166"/>
        <v/>
      </c>
    </row>
    <row r="1036" spans="7:17" x14ac:dyDescent="0.25">
      <c r="G1036" s="29" t="str">
        <f t="shared" si="167"/>
        <v>E</v>
      </c>
      <c r="I1036" s="27" t="str">
        <f t="shared" si="161"/>
        <v/>
      </c>
      <c r="M1036" s="27" t="str">
        <f t="shared" si="164"/>
        <v/>
      </c>
      <c r="O1036" s="27" t="str">
        <f t="shared" si="165"/>
        <v/>
      </c>
      <c r="P1036" s="27" t="str">
        <f t="shared" si="162"/>
        <v/>
      </c>
      <c r="Q1036" s="27" t="str">
        <f t="shared" si="166"/>
        <v/>
      </c>
    </row>
    <row r="1037" spans="7:17" x14ac:dyDescent="0.25">
      <c r="G1037" s="29" t="str">
        <f t="shared" si="167"/>
        <v>E</v>
      </c>
      <c r="I1037" s="27" t="str">
        <f t="shared" si="161"/>
        <v/>
      </c>
      <c r="M1037" s="27" t="str">
        <f t="shared" si="164"/>
        <v/>
      </c>
      <c r="O1037" s="27" t="str">
        <f t="shared" si="165"/>
        <v/>
      </c>
      <c r="P1037" s="27" t="str">
        <f t="shared" si="162"/>
        <v/>
      </c>
      <c r="Q1037" s="27" t="str">
        <f t="shared" si="166"/>
        <v/>
      </c>
    </row>
    <row r="1038" spans="7:17" x14ac:dyDescent="0.25">
      <c r="G1038" s="29" t="str">
        <f t="shared" si="167"/>
        <v>E</v>
      </c>
      <c r="I1038" s="27" t="str">
        <f t="shared" si="161"/>
        <v/>
      </c>
      <c r="M1038" s="27" t="str">
        <f t="shared" si="164"/>
        <v/>
      </c>
      <c r="O1038" s="27" t="str">
        <f t="shared" si="165"/>
        <v/>
      </c>
      <c r="P1038" s="27" t="str">
        <f t="shared" si="162"/>
        <v/>
      </c>
      <c r="Q1038" s="27" t="str">
        <f t="shared" si="166"/>
        <v/>
      </c>
    </row>
    <row r="1039" spans="7:17" x14ac:dyDescent="0.25">
      <c r="G1039" s="29" t="str">
        <f t="shared" si="167"/>
        <v>E</v>
      </c>
      <c r="I1039" s="27" t="str">
        <f t="shared" si="161"/>
        <v/>
      </c>
      <c r="M1039" s="27" t="str">
        <f t="shared" si="164"/>
        <v/>
      </c>
      <c r="O1039" s="27" t="str">
        <f t="shared" si="165"/>
        <v/>
      </c>
      <c r="P1039" s="27" t="str">
        <f t="shared" si="162"/>
        <v/>
      </c>
      <c r="Q1039" s="27" t="str">
        <f t="shared" si="166"/>
        <v/>
      </c>
    </row>
    <row r="1040" spans="7:17" x14ac:dyDescent="0.25">
      <c r="G1040" s="29" t="str">
        <f t="shared" si="167"/>
        <v>E</v>
      </c>
      <c r="I1040" s="27" t="str">
        <f t="shared" si="161"/>
        <v/>
      </c>
      <c r="M1040" s="27" t="str">
        <f t="shared" si="164"/>
        <v/>
      </c>
      <c r="O1040" s="27" t="str">
        <f t="shared" si="165"/>
        <v/>
      </c>
      <c r="P1040" s="27" t="str">
        <f t="shared" si="162"/>
        <v/>
      </c>
      <c r="Q1040" s="27" t="str">
        <f t="shared" si="166"/>
        <v/>
      </c>
    </row>
    <row r="1041" spans="7:17" x14ac:dyDescent="0.25">
      <c r="G1041" s="29" t="str">
        <f t="shared" si="167"/>
        <v>E</v>
      </c>
      <c r="I1041" s="27" t="str">
        <f t="shared" si="161"/>
        <v/>
      </c>
      <c r="M1041" s="27" t="str">
        <f t="shared" si="164"/>
        <v/>
      </c>
      <c r="O1041" s="27" t="str">
        <f t="shared" si="165"/>
        <v/>
      </c>
      <c r="P1041" s="27" t="str">
        <f t="shared" si="162"/>
        <v/>
      </c>
      <c r="Q1041" s="27" t="str">
        <f t="shared" si="166"/>
        <v/>
      </c>
    </row>
    <row r="1042" spans="7:17" x14ac:dyDescent="0.25">
      <c r="G1042" s="29" t="str">
        <f t="shared" si="167"/>
        <v>E</v>
      </c>
      <c r="I1042" s="27" t="str">
        <f t="shared" si="161"/>
        <v/>
      </c>
      <c r="M1042" s="27" t="str">
        <f t="shared" si="164"/>
        <v/>
      </c>
      <c r="O1042" s="27" t="str">
        <f t="shared" si="165"/>
        <v/>
      </c>
      <c r="P1042" s="27" t="str">
        <f t="shared" si="162"/>
        <v/>
      </c>
      <c r="Q1042" s="27" t="str">
        <f t="shared" si="166"/>
        <v/>
      </c>
    </row>
    <row r="1043" spans="7:17" x14ac:dyDescent="0.25">
      <c r="G1043" s="29" t="str">
        <f t="shared" si="167"/>
        <v>E</v>
      </c>
      <c r="I1043" s="27" t="str">
        <f t="shared" si="161"/>
        <v/>
      </c>
      <c r="M1043" s="27" t="str">
        <f t="shared" si="164"/>
        <v/>
      </c>
      <c r="O1043" s="27" t="str">
        <f t="shared" si="165"/>
        <v/>
      </c>
      <c r="P1043" s="27" t="str">
        <f t="shared" si="162"/>
        <v/>
      </c>
      <c r="Q1043" s="27" t="str">
        <f t="shared" si="166"/>
        <v/>
      </c>
    </row>
    <row r="1044" spans="7:17" x14ac:dyDescent="0.25">
      <c r="G1044" s="29" t="str">
        <f t="shared" si="167"/>
        <v>E</v>
      </c>
      <c r="I1044" s="27" t="str">
        <f t="shared" si="161"/>
        <v/>
      </c>
      <c r="M1044" s="27" t="str">
        <f t="shared" si="164"/>
        <v/>
      </c>
      <c r="O1044" s="27" t="str">
        <f t="shared" si="165"/>
        <v/>
      </c>
      <c r="P1044" s="27" t="str">
        <f t="shared" si="162"/>
        <v/>
      </c>
      <c r="Q1044" s="27" t="str">
        <f t="shared" si="166"/>
        <v/>
      </c>
    </row>
    <row r="1045" spans="7:17" x14ac:dyDescent="0.25">
      <c r="G1045" s="29" t="str">
        <f t="shared" si="167"/>
        <v>E</v>
      </c>
      <c r="I1045" s="27" t="str">
        <f t="shared" si="161"/>
        <v/>
      </c>
      <c r="M1045" s="27" t="str">
        <f t="shared" si="164"/>
        <v/>
      </c>
      <c r="O1045" s="27" t="str">
        <f t="shared" si="165"/>
        <v/>
      </c>
      <c r="P1045" s="27" t="str">
        <f t="shared" si="162"/>
        <v/>
      </c>
      <c r="Q1045" s="27" t="str">
        <f t="shared" si="166"/>
        <v/>
      </c>
    </row>
    <row r="1046" spans="7:17" x14ac:dyDescent="0.25">
      <c r="G1046" s="29" t="str">
        <f t="shared" si="167"/>
        <v>E</v>
      </c>
      <c r="I1046" s="27" t="str">
        <f t="shared" si="161"/>
        <v/>
      </c>
      <c r="M1046" s="27" t="str">
        <f t="shared" si="164"/>
        <v/>
      </c>
      <c r="O1046" s="27" t="str">
        <f t="shared" si="165"/>
        <v/>
      </c>
      <c r="P1046" s="27" t="str">
        <f t="shared" si="162"/>
        <v/>
      </c>
      <c r="Q1046" s="27" t="str">
        <f t="shared" si="166"/>
        <v/>
      </c>
    </row>
    <row r="1047" spans="7:17" x14ac:dyDescent="0.25">
      <c r="G1047" s="29" t="str">
        <f t="shared" si="167"/>
        <v>E</v>
      </c>
      <c r="I1047" s="27" t="str">
        <f t="shared" si="161"/>
        <v/>
      </c>
      <c r="M1047" s="27" t="str">
        <f t="shared" si="164"/>
        <v/>
      </c>
      <c r="O1047" s="27" t="str">
        <f t="shared" si="165"/>
        <v/>
      </c>
      <c r="P1047" s="27" t="str">
        <f t="shared" si="162"/>
        <v/>
      </c>
      <c r="Q1047" s="27" t="str">
        <f t="shared" si="166"/>
        <v/>
      </c>
    </row>
    <row r="1048" spans="7:17" x14ac:dyDescent="0.25">
      <c r="G1048" s="29" t="str">
        <f t="shared" si="167"/>
        <v>E</v>
      </c>
      <c r="I1048" s="27" t="str">
        <f t="shared" ref="I1048:I1111" si="168">IF(H1048="","",VLOOKUP(H1048,$Y$4:$Z$15,2,TRUE))</f>
        <v/>
      </c>
      <c r="M1048" s="27" t="str">
        <f t="shared" si="164"/>
        <v/>
      </c>
      <c r="O1048" s="27" t="str">
        <f t="shared" si="165"/>
        <v/>
      </c>
      <c r="P1048" s="27" t="str">
        <f t="shared" si="162"/>
        <v/>
      </c>
      <c r="Q1048" s="27" t="str">
        <f t="shared" si="166"/>
        <v/>
      </c>
    </row>
    <row r="1049" spans="7:17" x14ac:dyDescent="0.25">
      <c r="G1049" s="29" t="str">
        <f t="shared" si="167"/>
        <v>E</v>
      </c>
      <c r="I1049" s="27" t="str">
        <f t="shared" si="168"/>
        <v/>
      </c>
      <c r="M1049" s="27" t="str">
        <f t="shared" si="164"/>
        <v/>
      </c>
      <c r="O1049" s="27" t="str">
        <f t="shared" si="165"/>
        <v/>
      </c>
      <c r="P1049" s="27" t="str">
        <f t="shared" ref="P1049:P1112" si="169">IF(COUNT(F1049:O1049)=0,"",SUM(F1049:O1049))</f>
        <v/>
      </c>
      <c r="Q1049" s="27" t="str">
        <f t="shared" si="166"/>
        <v/>
      </c>
    </row>
    <row r="1050" spans="7:17" x14ac:dyDescent="0.25">
      <c r="G1050" s="29" t="str">
        <f t="shared" si="167"/>
        <v>E</v>
      </c>
      <c r="I1050" s="27" t="str">
        <f t="shared" si="168"/>
        <v/>
      </c>
      <c r="M1050" s="27" t="str">
        <f t="shared" si="164"/>
        <v/>
      </c>
      <c r="O1050" s="27" t="str">
        <f t="shared" si="165"/>
        <v/>
      </c>
      <c r="P1050" s="27" t="str">
        <f t="shared" si="169"/>
        <v/>
      </c>
      <c r="Q1050" s="27" t="str">
        <f t="shared" si="166"/>
        <v/>
      </c>
    </row>
    <row r="1051" spans="7:17" x14ac:dyDescent="0.25">
      <c r="G1051" s="29" t="str">
        <f t="shared" si="167"/>
        <v>E</v>
      </c>
      <c r="I1051" s="27" t="str">
        <f t="shared" si="168"/>
        <v/>
      </c>
      <c r="M1051" s="27" t="str">
        <f t="shared" si="164"/>
        <v/>
      </c>
      <c r="O1051" s="27" t="str">
        <f t="shared" si="165"/>
        <v/>
      </c>
      <c r="P1051" s="27" t="str">
        <f t="shared" si="169"/>
        <v/>
      </c>
      <c r="Q1051" s="27" t="str">
        <f t="shared" si="166"/>
        <v/>
      </c>
    </row>
    <row r="1052" spans="7:17" x14ac:dyDescent="0.25">
      <c r="G1052" s="29" t="str">
        <f t="shared" si="167"/>
        <v>E</v>
      </c>
      <c r="I1052" s="27" t="str">
        <f t="shared" si="168"/>
        <v/>
      </c>
      <c r="M1052" s="27" t="str">
        <f t="shared" si="164"/>
        <v/>
      </c>
      <c r="O1052" s="27" t="str">
        <f t="shared" si="165"/>
        <v/>
      </c>
      <c r="P1052" s="27" t="str">
        <f t="shared" si="169"/>
        <v/>
      </c>
      <c r="Q1052" s="27" t="str">
        <f t="shared" si="166"/>
        <v/>
      </c>
    </row>
    <row r="1053" spans="7:17" x14ac:dyDescent="0.25">
      <c r="G1053" s="29" t="str">
        <f t="shared" si="167"/>
        <v>E</v>
      </c>
      <c r="I1053" s="27" t="str">
        <f t="shared" si="168"/>
        <v/>
      </c>
      <c r="M1053" s="27" t="str">
        <f t="shared" si="164"/>
        <v/>
      </c>
      <c r="O1053" s="27" t="str">
        <f t="shared" si="165"/>
        <v/>
      </c>
      <c r="P1053" s="27" t="str">
        <f t="shared" si="169"/>
        <v/>
      </c>
      <c r="Q1053" s="27" t="str">
        <f t="shared" si="166"/>
        <v/>
      </c>
    </row>
    <row r="1054" spans="7:17" x14ac:dyDescent="0.25">
      <c r="G1054" s="29" t="str">
        <f t="shared" si="167"/>
        <v>E</v>
      </c>
      <c r="I1054" s="27" t="str">
        <f t="shared" si="168"/>
        <v/>
      </c>
      <c r="M1054" s="27" t="str">
        <f t="shared" si="164"/>
        <v/>
      </c>
      <c r="O1054" s="27" t="str">
        <f t="shared" si="165"/>
        <v/>
      </c>
      <c r="P1054" s="27" t="str">
        <f t="shared" si="169"/>
        <v/>
      </c>
      <c r="Q1054" s="27" t="str">
        <f t="shared" si="166"/>
        <v/>
      </c>
    </row>
    <row r="1055" spans="7:17" x14ac:dyDescent="0.25">
      <c r="G1055" s="29" t="str">
        <f t="shared" si="167"/>
        <v>E</v>
      </c>
      <c r="I1055" s="27" t="str">
        <f t="shared" si="168"/>
        <v/>
      </c>
      <c r="M1055" s="27" t="str">
        <f t="shared" si="164"/>
        <v/>
      </c>
      <c r="O1055" s="27" t="str">
        <f t="shared" si="165"/>
        <v/>
      </c>
      <c r="P1055" s="27" t="str">
        <f t="shared" si="169"/>
        <v/>
      </c>
      <c r="Q1055" s="27" t="str">
        <f t="shared" si="166"/>
        <v/>
      </c>
    </row>
    <row r="1056" spans="7:17" x14ac:dyDescent="0.25">
      <c r="G1056" s="29" t="str">
        <f t="shared" si="167"/>
        <v>E</v>
      </c>
      <c r="I1056" s="27" t="str">
        <f t="shared" si="168"/>
        <v/>
      </c>
      <c r="M1056" s="27" t="str">
        <f t="shared" si="164"/>
        <v/>
      </c>
      <c r="O1056" s="27" t="str">
        <f t="shared" si="165"/>
        <v/>
      </c>
      <c r="P1056" s="27" t="str">
        <f t="shared" si="169"/>
        <v/>
      </c>
      <c r="Q1056" s="27" t="str">
        <f t="shared" si="166"/>
        <v/>
      </c>
    </row>
    <row r="1057" spans="7:17" x14ac:dyDescent="0.25">
      <c r="G1057" s="29" t="str">
        <f t="shared" si="167"/>
        <v>E</v>
      </c>
      <c r="I1057" s="27" t="str">
        <f t="shared" si="168"/>
        <v/>
      </c>
      <c r="M1057" s="27" t="str">
        <f t="shared" si="164"/>
        <v/>
      </c>
      <c r="O1057" s="27" t="str">
        <f t="shared" si="165"/>
        <v/>
      </c>
      <c r="P1057" s="27" t="str">
        <f t="shared" si="169"/>
        <v/>
      </c>
      <c r="Q1057" s="27" t="str">
        <f t="shared" si="166"/>
        <v/>
      </c>
    </row>
    <row r="1058" spans="7:17" x14ac:dyDescent="0.25">
      <c r="G1058" s="29" t="str">
        <f t="shared" si="167"/>
        <v>E</v>
      </c>
      <c r="I1058" s="27" t="str">
        <f t="shared" si="168"/>
        <v/>
      </c>
      <c r="M1058" s="27" t="str">
        <f t="shared" si="164"/>
        <v/>
      </c>
      <c r="O1058" s="27" t="str">
        <f t="shared" si="165"/>
        <v/>
      </c>
      <c r="P1058" s="27" t="str">
        <f t="shared" si="169"/>
        <v/>
      </c>
      <c r="Q1058" s="27" t="str">
        <f t="shared" si="166"/>
        <v/>
      </c>
    </row>
    <row r="1059" spans="7:17" x14ac:dyDescent="0.25">
      <c r="G1059" s="29" t="str">
        <f t="shared" si="167"/>
        <v>E</v>
      </c>
      <c r="I1059" s="27" t="str">
        <f t="shared" si="168"/>
        <v/>
      </c>
      <c r="M1059" s="27" t="str">
        <f t="shared" si="164"/>
        <v/>
      </c>
      <c r="O1059" s="27" t="str">
        <f t="shared" si="165"/>
        <v/>
      </c>
      <c r="P1059" s="27" t="str">
        <f t="shared" si="169"/>
        <v/>
      </c>
      <c r="Q1059" s="27" t="str">
        <f t="shared" si="166"/>
        <v/>
      </c>
    </row>
    <row r="1060" spans="7:17" x14ac:dyDescent="0.25">
      <c r="G1060" s="29" t="str">
        <f t="shared" si="167"/>
        <v>E</v>
      </c>
      <c r="I1060" s="27" t="str">
        <f t="shared" si="168"/>
        <v/>
      </c>
      <c r="M1060" s="27" t="str">
        <f t="shared" si="164"/>
        <v/>
      </c>
      <c r="O1060" s="27" t="str">
        <f t="shared" si="165"/>
        <v/>
      </c>
      <c r="P1060" s="27" t="str">
        <f t="shared" si="169"/>
        <v/>
      </c>
      <c r="Q1060" s="27" t="str">
        <f t="shared" si="166"/>
        <v/>
      </c>
    </row>
    <row r="1061" spans="7:17" x14ac:dyDescent="0.25">
      <c r="G1061" s="29" t="str">
        <f t="shared" si="167"/>
        <v>E</v>
      </c>
      <c r="I1061" s="27" t="str">
        <f t="shared" si="168"/>
        <v/>
      </c>
      <c r="M1061" s="27" t="str">
        <f t="shared" si="164"/>
        <v/>
      </c>
      <c r="O1061" s="27" t="str">
        <f t="shared" si="165"/>
        <v/>
      </c>
      <c r="P1061" s="27" t="str">
        <f t="shared" si="169"/>
        <v/>
      </c>
      <c r="Q1061" s="27" t="str">
        <f t="shared" si="166"/>
        <v/>
      </c>
    </row>
    <row r="1062" spans="7:17" x14ac:dyDescent="0.25">
      <c r="G1062" s="29" t="str">
        <f t="shared" si="167"/>
        <v>E</v>
      </c>
      <c r="I1062" s="27" t="str">
        <f t="shared" si="168"/>
        <v/>
      </c>
      <c r="M1062" s="27" t="str">
        <f t="shared" si="164"/>
        <v/>
      </c>
      <c r="O1062" s="27" t="str">
        <f t="shared" si="165"/>
        <v/>
      </c>
      <c r="P1062" s="27" t="str">
        <f t="shared" si="169"/>
        <v/>
      </c>
      <c r="Q1062" s="27" t="str">
        <f t="shared" si="166"/>
        <v/>
      </c>
    </row>
    <row r="1063" spans="7:17" x14ac:dyDescent="0.25">
      <c r="G1063" s="29" t="str">
        <f t="shared" si="167"/>
        <v>E</v>
      </c>
      <c r="I1063" s="27" t="str">
        <f t="shared" si="168"/>
        <v/>
      </c>
      <c r="M1063" s="27" t="str">
        <f t="shared" si="164"/>
        <v/>
      </c>
      <c r="O1063" s="27" t="str">
        <f t="shared" si="165"/>
        <v/>
      </c>
      <c r="P1063" s="27" t="str">
        <f t="shared" si="169"/>
        <v/>
      </c>
      <c r="Q1063" s="27" t="str">
        <f t="shared" si="166"/>
        <v/>
      </c>
    </row>
    <row r="1064" spans="7:17" x14ac:dyDescent="0.25">
      <c r="G1064" s="29" t="str">
        <f t="shared" si="167"/>
        <v>E</v>
      </c>
      <c r="I1064" s="27" t="str">
        <f t="shared" si="168"/>
        <v/>
      </c>
      <c r="M1064" s="27" t="str">
        <f t="shared" si="164"/>
        <v/>
      </c>
      <c r="O1064" s="27" t="str">
        <f t="shared" si="165"/>
        <v/>
      </c>
      <c r="P1064" s="27" t="str">
        <f t="shared" si="169"/>
        <v/>
      </c>
      <c r="Q1064" s="27" t="str">
        <f t="shared" si="166"/>
        <v/>
      </c>
    </row>
    <row r="1065" spans="7:17" x14ac:dyDescent="0.25">
      <c r="G1065" s="29" t="str">
        <f t="shared" si="167"/>
        <v>E</v>
      </c>
      <c r="I1065" s="27" t="str">
        <f t="shared" si="168"/>
        <v/>
      </c>
      <c r="M1065" s="27" t="str">
        <f t="shared" si="164"/>
        <v/>
      </c>
      <c r="O1065" s="27" t="str">
        <f t="shared" si="165"/>
        <v/>
      </c>
      <c r="P1065" s="27" t="str">
        <f t="shared" si="169"/>
        <v/>
      </c>
      <c r="Q1065" s="27" t="str">
        <f t="shared" si="166"/>
        <v/>
      </c>
    </row>
    <row r="1066" spans="7:17" x14ac:dyDescent="0.25">
      <c r="G1066" s="29" t="str">
        <f t="shared" si="167"/>
        <v>E</v>
      </c>
      <c r="I1066" s="27" t="str">
        <f t="shared" si="168"/>
        <v/>
      </c>
      <c r="M1066" s="27" t="str">
        <f t="shared" si="164"/>
        <v/>
      </c>
      <c r="O1066" s="27" t="str">
        <f t="shared" si="165"/>
        <v/>
      </c>
      <c r="P1066" s="27" t="str">
        <f t="shared" si="169"/>
        <v/>
      </c>
      <c r="Q1066" s="27" t="str">
        <f t="shared" si="166"/>
        <v/>
      </c>
    </row>
    <row r="1067" spans="7:17" x14ac:dyDescent="0.25">
      <c r="G1067" s="29" t="str">
        <f t="shared" si="167"/>
        <v>E</v>
      </c>
      <c r="I1067" s="27" t="str">
        <f t="shared" si="168"/>
        <v/>
      </c>
      <c r="M1067" s="27" t="str">
        <f t="shared" si="164"/>
        <v/>
      </c>
      <c r="O1067" s="27" t="str">
        <f t="shared" si="165"/>
        <v/>
      </c>
      <c r="P1067" s="27" t="str">
        <f t="shared" si="169"/>
        <v/>
      </c>
      <c r="Q1067" s="27" t="str">
        <f t="shared" si="166"/>
        <v/>
      </c>
    </row>
    <row r="1068" spans="7:17" x14ac:dyDescent="0.25">
      <c r="G1068" s="29" t="str">
        <f t="shared" si="167"/>
        <v>E</v>
      </c>
      <c r="I1068" s="27" t="str">
        <f t="shared" si="168"/>
        <v/>
      </c>
      <c r="M1068" s="27" t="str">
        <f t="shared" si="164"/>
        <v/>
      </c>
      <c r="O1068" s="27" t="str">
        <f t="shared" si="165"/>
        <v/>
      </c>
      <c r="P1068" s="27" t="str">
        <f t="shared" si="169"/>
        <v/>
      </c>
      <c r="Q1068" s="27" t="str">
        <f t="shared" si="166"/>
        <v/>
      </c>
    </row>
    <row r="1069" spans="7:17" x14ac:dyDescent="0.25">
      <c r="G1069" s="29" t="str">
        <f t="shared" si="167"/>
        <v>E</v>
      </c>
      <c r="I1069" s="27" t="str">
        <f t="shared" si="168"/>
        <v/>
      </c>
      <c r="M1069" s="27" t="str">
        <f t="shared" si="164"/>
        <v/>
      </c>
      <c r="O1069" s="27" t="str">
        <f t="shared" si="165"/>
        <v/>
      </c>
      <c r="P1069" s="27" t="str">
        <f t="shared" si="169"/>
        <v/>
      </c>
      <c r="Q1069" s="27" t="str">
        <f t="shared" si="166"/>
        <v/>
      </c>
    </row>
    <row r="1070" spans="7:17" x14ac:dyDescent="0.25">
      <c r="G1070" s="29" t="str">
        <f t="shared" si="167"/>
        <v>E</v>
      </c>
      <c r="I1070" s="27" t="str">
        <f t="shared" si="168"/>
        <v/>
      </c>
      <c r="M1070" s="27" t="str">
        <f t="shared" si="164"/>
        <v/>
      </c>
      <c r="O1070" s="27" t="str">
        <f t="shared" si="165"/>
        <v/>
      </c>
      <c r="P1070" s="27" t="str">
        <f t="shared" si="169"/>
        <v/>
      </c>
      <c r="Q1070" s="27" t="str">
        <f t="shared" si="166"/>
        <v/>
      </c>
    </row>
    <row r="1071" spans="7:17" x14ac:dyDescent="0.25">
      <c r="G1071" s="29" t="str">
        <f t="shared" si="167"/>
        <v>E</v>
      </c>
      <c r="I1071" s="27" t="str">
        <f t="shared" si="168"/>
        <v/>
      </c>
      <c r="M1071" s="27" t="str">
        <f t="shared" si="164"/>
        <v/>
      </c>
      <c r="O1071" s="27" t="str">
        <f t="shared" si="165"/>
        <v/>
      </c>
      <c r="P1071" s="27" t="str">
        <f t="shared" si="169"/>
        <v/>
      </c>
      <c r="Q1071" s="27" t="str">
        <f t="shared" si="166"/>
        <v/>
      </c>
    </row>
    <row r="1072" spans="7:17" x14ac:dyDescent="0.25">
      <c r="G1072" s="29" t="str">
        <f t="shared" si="167"/>
        <v>E</v>
      </c>
      <c r="I1072" s="27" t="str">
        <f t="shared" si="168"/>
        <v/>
      </c>
      <c r="M1072" s="27" t="str">
        <f t="shared" si="164"/>
        <v/>
      </c>
      <c r="O1072" s="27" t="str">
        <f t="shared" si="165"/>
        <v/>
      </c>
      <c r="P1072" s="27" t="str">
        <f t="shared" si="169"/>
        <v/>
      </c>
      <c r="Q1072" s="27" t="str">
        <f t="shared" si="166"/>
        <v/>
      </c>
    </row>
    <row r="1073" spans="7:17" x14ac:dyDescent="0.25">
      <c r="G1073" s="29" t="str">
        <f t="shared" si="167"/>
        <v>E</v>
      </c>
      <c r="I1073" s="27" t="str">
        <f t="shared" si="168"/>
        <v/>
      </c>
      <c r="M1073" s="27" t="str">
        <f t="shared" si="164"/>
        <v/>
      </c>
      <c r="O1073" s="27" t="str">
        <f t="shared" si="165"/>
        <v/>
      </c>
      <c r="P1073" s="27" t="str">
        <f t="shared" si="169"/>
        <v/>
      </c>
      <c r="Q1073" s="27" t="str">
        <f t="shared" si="166"/>
        <v/>
      </c>
    </row>
    <row r="1074" spans="7:17" x14ac:dyDescent="0.25">
      <c r="G1074" s="29" t="str">
        <f t="shared" si="167"/>
        <v>E</v>
      </c>
      <c r="I1074" s="27" t="str">
        <f t="shared" si="168"/>
        <v/>
      </c>
      <c r="M1074" s="27" t="str">
        <f t="shared" si="164"/>
        <v/>
      </c>
      <c r="O1074" s="27" t="str">
        <f t="shared" si="165"/>
        <v/>
      </c>
      <c r="P1074" s="27" t="str">
        <f t="shared" si="169"/>
        <v/>
      </c>
      <c r="Q1074" s="27" t="str">
        <f t="shared" si="166"/>
        <v/>
      </c>
    </row>
    <row r="1075" spans="7:17" x14ac:dyDescent="0.25">
      <c r="G1075" s="29" t="str">
        <f t="shared" si="167"/>
        <v>E</v>
      </c>
      <c r="I1075" s="27" t="str">
        <f t="shared" si="168"/>
        <v/>
      </c>
      <c r="M1075" s="27" t="str">
        <f t="shared" si="164"/>
        <v/>
      </c>
      <c r="O1075" s="27" t="str">
        <f t="shared" si="165"/>
        <v/>
      </c>
      <c r="P1075" s="27" t="str">
        <f t="shared" si="169"/>
        <v/>
      </c>
      <c r="Q1075" s="27" t="str">
        <f t="shared" si="166"/>
        <v/>
      </c>
    </row>
    <row r="1076" spans="7:17" x14ac:dyDescent="0.25">
      <c r="G1076" s="29" t="str">
        <f t="shared" si="167"/>
        <v>E</v>
      </c>
      <c r="I1076" s="27" t="str">
        <f t="shared" si="168"/>
        <v/>
      </c>
      <c r="M1076" s="27" t="str">
        <f t="shared" si="164"/>
        <v/>
      </c>
      <c r="O1076" s="27" t="str">
        <f t="shared" si="165"/>
        <v/>
      </c>
      <c r="P1076" s="27" t="str">
        <f t="shared" si="169"/>
        <v/>
      </c>
      <c r="Q1076" s="27" t="str">
        <f t="shared" si="166"/>
        <v/>
      </c>
    </row>
    <row r="1077" spans="7:17" x14ac:dyDescent="0.25">
      <c r="G1077" s="29" t="str">
        <f t="shared" si="167"/>
        <v>E</v>
      </c>
      <c r="I1077" s="27" t="str">
        <f t="shared" si="168"/>
        <v/>
      </c>
      <c r="M1077" s="27" t="str">
        <f t="shared" si="164"/>
        <v/>
      </c>
      <c r="O1077" s="27" t="str">
        <f t="shared" si="165"/>
        <v/>
      </c>
      <c r="P1077" s="27" t="str">
        <f t="shared" si="169"/>
        <v/>
      </c>
      <c r="Q1077" s="27" t="str">
        <f t="shared" si="166"/>
        <v/>
      </c>
    </row>
    <row r="1078" spans="7:17" x14ac:dyDescent="0.25">
      <c r="G1078" s="29" t="str">
        <f t="shared" si="167"/>
        <v>E</v>
      </c>
      <c r="I1078" s="27" t="str">
        <f t="shared" si="168"/>
        <v/>
      </c>
      <c r="M1078" s="27" t="str">
        <f t="shared" si="164"/>
        <v/>
      </c>
      <c r="O1078" s="27" t="str">
        <f t="shared" si="165"/>
        <v/>
      </c>
      <c r="P1078" s="27" t="str">
        <f t="shared" si="169"/>
        <v/>
      </c>
      <c r="Q1078" s="27" t="str">
        <f t="shared" si="166"/>
        <v/>
      </c>
    </row>
    <row r="1079" spans="7:17" x14ac:dyDescent="0.25">
      <c r="G1079" s="29" t="str">
        <f t="shared" si="167"/>
        <v>E</v>
      </c>
      <c r="I1079" s="27" t="str">
        <f t="shared" si="168"/>
        <v/>
      </c>
      <c r="M1079" s="27" t="str">
        <f t="shared" si="164"/>
        <v/>
      </c>
      <c r="O1079" s="27" t="str">
        <f t="shared" si="165"/>
        <v/>
      </c>
      <c r="P1079" s="27" t="str">
        <f t="shared" si="169"/>
        <v/>
      </c>
      <c r="Q1079" s="27" t="str">
        <f t="shared" si="166"/>
        <v/>
      </c>
    </row>
    <row r="1080" spans="7:17" x14ac:dyDescent="0.25">
      <c r="G1080" s="29" t="str">
        <f t="shared" si="167"/>
        <v>E</v>
      </c>
      <c r="I1080" s="27" t="str">
        <f t="shared" si="168"/>
        <v/>
      </c>
      <c r="M1080" s="27" t="str">
        <f t="shared" si="164"/>
        <v/>
      </c>
      <c r="O1080" s="27" t="str">
        <f t="shared" si="165"/>
        <v/>
      </c>
      <c r="P1080" s="27" t="str">
        <f t="shared" si="169"/>
        <v/>
      </c>
      <c r="Q1080" s="27" t="str">
        <f t="shared" si="166"/>
        <v/>
      </c>
    </row>
    <row r="1081" spans="7:17" x14ac:dyDescent="0.25">
      <c r="G1081" s="29" t="str">
        <f t="shared" si="167"/>
        <v>E</v>
      </c>
      <c r="I1081" s="27" t="str">
        <f t="shared" si="168"/>
        <v/>
      </c>
      <c r="M1081" s="27" t="str">
        <f t="shared" si="164"/>
        <v/>
      </c>
      <c r="O1081" s="27" t="str">
        <f t="shared" si="165"/>
        <v/>
      </c>
      <c r="P1081" s="27" t="str">
        <f t="shared" si="169"/>
        <v/>
      </c>
      <c r="Q1081" s="27" t="str">
        <f t="shared" si="166"/>
        <v/>
      </c>
    </row>
    <row r="1082" spans="7:17" x14ac:dyDescent="0.25">
      <c r="G1082" s="29" t="str">
        <f t="shared" si="167"/>
        <v>E</v>
      </c>
      <c r="I1082" s="27" t="str">
        <f t="shared" si="168"/>
        <v/>
      </c>
      <c r="M1082" s="27" t="str">
        <f t="shared" ref="M1082:M1145" si="170">IF(L1082="","",VLOOKUP(L1082,$Y$4:$Z$15,2,TRUE))</f>
        <v/>
      </c>
      <c r="O1082" s="27" t="str">
        <f t="shared" ref="O1082:O1145" si="171">IF(N1082="","",VLOOKUP(N1082,$Y$4:$Z$15,2,TRUE))</f>
        <v/>
      </c>
      <c r="P1082" s="27" t="str">
        <f t="shared" si="169"/>
        <v/>
      </c>
      <c r="Q1082" s="27" t="str">
        <f t="shared" si="166"/>
        <v/>
      </c>
    </row>
    <row r="1083" spans="7:17" x14ac:dyDescent="0.25">
      <c r="G1083" s="29" t="str">
        <f t="shared" si="167"/>
        <v>E</v>
      </c>
      <c r="I1083" s="27" t="str">
        <f t="shared" si="168"/>
        <v/>
      </c>
      <c r="M1083" s="27" t="str">
        <f t="shared" si="170"/>
        <v/>
      </c>
      <c r="O1083" s="27" t="str">
        <f t="shared" si="171"/>
        <v/>
      </c>
      <c r="P1083" s="27" t="str">
        <f t="shared" si="169"/>
        <v/>
      </c>
      <c r="Q1083" s="27" t="str">
        <f t="shared" si="166"/>
        <v/>
      </c>
    </row>
    <row r="1084" spans="7:17" x14ac:dyDescent="0.25">
      <c r="G1084" s="29" t="str">
        <f t="shared" si="167"/>
        <v>E</v>
      </c>
      <c r="I1084" s="27" t="str">
        <f t="shared" si="168"/>
        <v/>
      </c>
      <c r="M1084" s="27" t="str">
        <f t="shared" si="170"/>
        <v/>
      </c>
      <c r="O1084" s="27" t="str">
        <f t="shared" si="171"/>
        <v/>
      </c>
      <c r="P1084" s="27" t="str">
        <f t="shared" si="169"/>
        <v/>
      </c>
      <c r="Q1084" s="27" t="str">
        <f t="shared" si="166"/>
        <v/>
      </c>
    </row>
    <row r="1085" spans="7:17" x14ac:dyDescent="0.25">
      <c r="G1085" s="29" t="str">
        <f t="shared" si="167"/>
        <v>E</v>
      </c>
      <c r="I1085" s="27" t="str">
        <f t="shared" si="168"/>
        <v/>
      </c>
      <c r="M1085" s="27" t="str">
        <f t="shared" si="170"/>
        <v/>
      </c>
      <c r="O1085" s="27" t="str">
        <f t="shared" si="171"/>
        <v/>
      </c>
      <c r="P1085" s="27" t="str">
        <f t="shared" si="169"/>
        <v/>
      </c>
      <c r="Q1085" s="27" t="str">
        <f t="shared" si="166"/>
        <v/>
      </c>
    </row>
    <row r="1086" spans="7:17" x14ac:dyDescent="0.25">
      <c r="G1086" s="29" t="str">
        <f t="shared" si="167"/>
        <v>E</v>
      </c>
      <c r="I1086" s="27" t="str">
        <f t="shared" si="168"/>
        <v/>
      </c>
      <c r="M1086" s="27" t="str">
        <f t="shared" si="170"/>
        <v/>
      </c>
      <c r="O1086" s="27" t="str">
        <f t="shared" si="171"/>
        <v/>
      </c>
      <c r="P1086" s="27" t="str">
        <f t="shared" si="169"/>
        <v/>
      </c>
      <c r="Q1086" s="27" t="str">
        <f t="shared" si="166"/>
        <v/>
      </c>
    </row>
    <row r="1087" spans="7:17" x14ac:dyDescent="0.25">
      <c r="G1087" s="29" t="str">
        <f t="shared" si="167"/>
        <v>E</v>
      </c>
      <c r="I1087" s="27" t="str">
        <f t="shared" si="168"/>
        <v/>
      </c>
      <c r="M1087" s="27" t="str">
        <f t="shared" si="170"/>
        <v/>
      </c>
      <c r="O1087" s="27" t="str">
        <f t="shared" si="171"/>
        <v/>
      </c>
      <c r="P1087" s="27" t="str">
        <f t="shared" si="169"/>
        <v/>
      </c>
      <c r="Q1087" s="27" t="str">
        <f t="shared" si="166"/>
        <v/>
      </c>
    </row>
    <row r="1088" spans="7:17" x14ac:dyDescent="0.25">
      <c r="G1088" s="29" t="str">
        <f t="shared" si="167"/>
        <v>E</v>
      </c>
      <c r="I1088" s="27" t="str">
        <f t="shared" si="168"/>
        <v/>
      </c>
      <c r="M1088" s="27" t="str">
        <f t="shared" si="170"/>
        <v/>
      </c>
      <c r="O1088" s="27" t="str">
        <f t="shared" si="171"/>
        <v/>
      </c>
      <c r="P1088" s="27" t="str">
        <f t="shared" si="169"/>
        <v/>
      </c>
      <c r="Q1088" s="27" t="str">
        <f t="shared" si="166"/>
        <v/>
      </c>
    </row>
    <row r="1089" spans="7:17" x14ac:dyDescent="0.25">
      <c r="G1089" s="29" t="str">
        <f t="shared" si="167"/>
        <v>E</v>
      </c>
      <c r="I1089" s="27" t="str">
        <f t="shared" si="168"/>
        <v/>
      </c>
      <c r="M1089" s="27" t="str">
        <f t="shared" si="170"/>
        <v/>
      </c>
      <c r="O1089" s="27" t="str">
        <f t="shared" si="171"/>
        <v/>
      </c>
      <c r="P1089" s="27" t="str">
        <f t="shared" si="169"/>
        <v/>
      </c>
      <c r="Q1089" s="27" t="str">
        <f t="shared" si="166"/>
        <v/>
      </c>
    </row>
    <row r="1090" spans="7:17" x14ac:dyDescent="0.25">
      <c r="G1090" s="29" t="str">
        <f t="shared" si="167"/>
        <v>E</v>
      </c>
      <c r="I1090" s="27" t="str">
        <f t="shared" si="168"/>
        <v/>
      </c>
      <c r="M1090" s="27" t="str">
        <f t="shared" si="170"/>
        <v/>
      </c>
      <c r="O1090" s="27" t="str">
        <f t="shared" si="171"/>
        <v/>
      </c>
      <c r="P1090" s="27" t="str">
        <f t="shared" si="169"/>
        <v/>
      </c>
      <c r="Q1090" s="27" t="str">
        <f t="shared" si="166"/>
        <v/>
      </c>
    </row>
    <row r="1091" spans="7:17" x14ac:dyDescent="0.25">
      <c r="G1091" s="29" t="str">
        <f t="shared" si="167"/>
        <v>E</v>
      </c>
      <c r="I1091" s="27" t="str">
        <f t="shared" si="168"/>
        <v/>
      </c>
      <c r="M1091" s="27" t="str">
        <f t="shared" si="170"/>
        <v/>
      </c>
      <c r="O1091" s="27" t="str">
        <f t="shared" si="171"/>
        <v/>
      </c>
      <c r="P1091" s="27" t="str">
        <f t="shared" si="169"/>
        <v/>
      </c>
      <c r="Q1091" s="27" t="str">
        <f t="shared" ref="Q1091:Q1154" si="172">IF(P1091="","",P1091/500*12)</f>
        <v/>
      </c>
    </row>
    <row r="1092" spans="7:17" x14ac:dyDescent="0.25">
      <c r="G1092" s="29" t="str">
        <f t="shared" si="167"/>
        <v>E</v>
      </c>
      <c r="I1092" s="27" t="str">
        <f t="shared" si="168"/>
        <v/>
      </c>
      <c r="M1092" s="27" t="str">
        <f t="shared" si="170"/>
        <v/>
      </c>
      <c r="O1092" s="27" t="str">
        <f t="shared" si="171"/>
        <v/>
      </c>
      <c r="P1092" s="27" t="str">
        <f t="shared" si="169"/>
        <v/>
      </c>
      <c r="Q1092" s="27" t="str">
        <f t="shared" si="172"/>
        <v/>
      </c>
    </row>
    <row r="1093" spans="7:17" x14ac:dyDescent="0.25">
      <c r="G1093" s="29" t="str">
        <f t="shared" ref="G1093:G1156" si="173">VLOOKUP(F1093,$Y$4:$Z$15,2,TRUE)</f>
        <v>E</v>
      </c>
      <c r="I1093" s="27" t="str">
        <f t="shared" si="168"/>
        <v/>
      </c>
      <c r="M1093" s="27" t="str">
        <f t="shared" si="170"/>
        <v/>
      </c>
      <c r="O1093" s="27" t="str">
        <f t="shared" si="171"/>
        <v/>
      </c>
      <c r="P1093" s="27" t="str">
        <f t="shared" si="169"/>
        <v/>
      </c>
      <c r="Q1093" s="27" t="str">
        <f t="shared" si="172"/>
        <v/>
      </c>
    </row>
    <row r="1094" spans="7:17" x14ac:dyDescent="0.25">
      <c r="G1094" s="29" t="str">
        <f t="shared" si="173"/>
        <v>E</v>
      </c>
      <c r="I1094" s="27" t="str">
        <f t="shared" si="168"/>
        <v/>
      </c>
      <c r="M1094" s="27" t="str">
        <f t="shared" si="170"/>
        <v/>
      </c>
      <c r="O1094" s="27" t="str">
        <f t="shared" si="171"/>
        <v/>
      </c>
      <c r="P1094" s="27" t="str">
        <f t="shared" si="169"/>
        <v/>
      </c>
      <c r="Q1094" s="27" t="str">
        <f t="shared" si="172"/>
        <v/>
      </c>
    </row>
    <row r="1095" spans="7:17" x14ac:dyDescent="0.25">
      <c r="G1095" s="29" t="str">
        <f t="shared" si="173"/>
        <v>E</v>
      </c>
      <c r="I1095" s="27" t="str">
        <f t="shared" si="168"/>
        <v/>
      </c>
      <c r="M1095" s="27" t="str">
        <f t="shared" si="170"/>
        <v/>
      </c>
      <c r="O1095" s="27" t="str">
        <f t="shared" si="171"/>
        <v/>
      </c>
      <c r="P1095" s="27" t="str">
        <f t="shared" si="169"/>
        <v/>
      </c>
      <c r="Q1095" s="27" t="str">
        <f t="shared" si="172"/>
        <v/>
      </c>
    </row>
    <row r="1096" spans="7:17" x14ac:dyDescent="0.25">
      <c r="G1096" s="29" t="str">
        <f t="shared" si="173"/>
        <v>E</v>
      </c>
      <c r="I1096" s="27" t="str">
        <f t="shared" si="168"/>
        <v/>
      </c>
      <c r="M1096" s="27" t="str">
        <f t="shared" si="170"/>
        <v/>
      </c>
      <c r="O1096" s="27" t="str">
        <f t="shared" si="171"/>
        <v/>
      </c>
      <c r="P1096" s="27" t="str">
        <f t="shared" si="169"/>
        <v/>
      </c>
      <c r="Q1096" s="27" t="str">
        <f t="shared" si="172"/>
        <v/>
      </c>
    </row>
    <row r="1097" spans="7:17" x14ac:dyDescent="0.25">
      <c r="G1097" s="29" t="str">
        <f t="shared" si="173"/>
        <v>E</v>
      </c>
      <c r="I1097" s="27" t="str">
        <f t="shared" si="168"/>
        <v/>
      </c>
      <c r="M1097" s="27" t="str">
        <f t="shared" si="170"/>
        <v/>
      </c>
      <c r="O1097" s="27" t="str">
        <f t="shared" si="171"/>
        <v/>
      </c>
      <c r="P1097" s="27" t="str">
        <f t="shared" si="169"/>
        <v/>
      </c>
      <c r="Q1097" s="27" t="str">
        <f t="shared" si="172"/>
        <v/>
      </c>
    </row>
    <row r="1098" spans="7:17" x14ac:dyDescent="0.25">
      <c r="G1098" s="29" t="str">
        <f t="shared" si="173"/>
        <v>E</v>
      </c>
      <c r="I1098" s="27" t="str">
        <f t="shared" si="168"/>
        <v/>
      </c>
      <c r="M1098" s="27" t="str">
        <f t="shared" si="170"/>
        <v/>
      </c>
      <c r="O1098" s="27" t="str">
        <f t="shared" si="171"/>
        <v/>
      </c>
      <c r="P1098" s="27" t="str">
        <f t="shared" si="169"/>
        <v/>
      </c>
      <c r="Q1098" s="27" t="str">
        <f t="shared" si="172"/>
        <v/>
      </c>
    </row>
    <row r="1099" spans="7:17" x14ac:dyDescent="0.25">
      <c r="G1099" s="29" t="str">
        <f t="shared" si="173"/>
        <v>E</v>
      </c>
      <c r="I1099" s="27" t="str">
        <f t="shared" si="168"/>
        <v/>
      </c>
      <c r="M1099" s="27" t="str">
        <f t="shared" si="170"/>
        <v/>
      </c>
      <c r="O1099" s="27" t="str">
        <f t="shared" si="171"/>
        <v/>
      </c>
      <c r="P1099" s="27" t="str">
        <f t="shared" si="169"/>
        <v/>
      </c>
      <c r="Q1099" s="27" t="str">
        <f t="shared" si="172"/>
        <v/>
      </c>
    </row>
    <row r="1100" spans="7:17" x14ac:dyDescent="0.25">
      <c r="G1100" s="29" t="str">
        <f t="shared" si="173"/>
        <v>E</v>
      </c>
      <c r="I1100" s="27" t="str">
        <f t="shared" si="168"/>
        <v/>
      </c>
      <c r="M1100" s="27" t="str">
        <f t="shared" si="170"/>
        <v/>
      </c>
      <c r="O1100" s="27" t="str">
        <f t="shared" si="171"/>
        <v/>
      </c>
      <c r="P1100" s="27" t="str">
        <f t="shared" si="169"/>
        <v/>
      </c>
      <c r="Q1100" s="27" t="str">
        <f t="shared" si="172"/>
        <v/>
      </c>
    </row>
    <row r="1101" spans="7:17" x14ac:dyDescent="0.25">
      <c r="G1101" s="29" t="str">
        <f t="shared" si="173"/>
        <v>E</v>
      </c>
      <c r="I1101" s="27" t="str">
        <f t="shared" si="168"/>
        <v/>
      </c>
      <c r="M1101" s="27" t="str">
        <f t="shared" si="170"/>
        <v/>
      </c>
      <c r="O1101" s="27" t="str">
        <f t="shared" si="171"/>
        <v/>
      </c>
      <c r="P1101" s="27" t="str">
        <f t="shared" si="169"/>
        <v/>
      </c>
      <c r="Q1101" s="27" t="str">
        <f t="shared" si="172"/>
        <v/>
      </c>
    </row>
    <row r="1102" spans="7:17" x14ac:dyDescent="0.25">
      <c r="G1102" s="29" t="str">
        <f t="shared" si="173"/>
        <v>E</v>
      </c>
      <c r="I1102" s="27" t="str">
        <f t="shared" si="168"/>
        <v/>
      </c>
      <c r="M1102" s="27" t="str">
        <f t="shared" si="170"/>
        <v/>
      </c>
      <c r="O1102" s="27" t="str">
        <f t="shared" si="171"/>
        <v/>
      </c>
      <c r="P1102" s="27" t="str">
        <f t="shared" si="169"/>
        <v/>
      </c>
      <c r="Q1102" s="27" t="str">
        <f t="shared" si="172"/>
        <v/>
      </c>
    </row>
    <row r="1103" spans="7:17" x14ac:dyDescent="0.25">
      <c r="G1103" s="29" t="str">
        <f t="shared" si="173"/>
        <v>E</v>
      </c>
      <c r="I1103" s="27" t="str">
        <f t="shared" si="168"/>
        <v/>
      </c>
      <c r="M1103" s="27" t="str">
        <f t="shared" si="170"/>
        <v/>
      </c>
      <c r="O1103" s="27" t="str">
        <f t="shared" si="171"/>
        <v/>
      </c>
      <c r="P1103" s="27" t="str">
        <f t="shared" si="169"/>
        <v/>
      </c>
      <c r="Q1103" s="27" t="str">
        <f t="shared" si="172"/>
        <v/>
      </c>
    </row>
    <row r="1104" spans="7:17" x14ac:dyDescent="0.25">
      <c r="G1104" s="29" t="str">
        <f t="shared" si="173"/>
        <v>E</v>
      </c>
      <c r="I1104" s="27" t="str">
        <f t="shared" si="168"/>
        <v/>
      </c>
      <c r="M1104" s="27" t="str">
        <f t="shared" si="170"/>
        <v/>
      </c>
      <c r="O1104" s="27" t="str">
        <f t="shared" si="171"/>
        <v/>
      </c>
      <c r="P1104" s="27" t="str">
        <f t="shared" si="169"/>
        <v/>
      </c>
      <c r="Q1104" s="27" t="str">
        <f t="shared" si="172"/>
        <v/>
      </c>
    </row>
    <row r="1105" spans="7:17" x14ac:dyDescent="0.25">
      <c r="G1105" s="29" t="str">
        <f t="shared" si="173"/>
        <v>E</v>
      </c>
      <c r="I1105" s="27" t="str">
        <f t="shared" si="168"/>
        <v/>
      </c>
      <c r="M1105" s="27" t="str">
        <f t="shared" si="170"/>
        <v/>
      </c>
      <c r="O1105" s="27" t="str">
        <f t="shared" si="171"/>
        <v/>
      </c>
      <c r="P1105" s="27" t="str">
        <f t="shared" si="169"/>
        <v/>
      </c>
      <c r="Q1105" s="27" t="str">
        <f t="shared" si="172"/>
        <v/>
      </c>
    </row>
    <row r="1106" spans="7:17" x14ac:dyDescent="0.25">
      <c r="G1106" s="29" t="str">
        <f t="shared" si="173"/>
        <v>E</v>
      </c>
      <c r="I1106" s="27" t="str">
        <f t="shared" si="168"/>
        <v/>
      </c>
      <c r="M1106" s="27" t="str">
        <f t="shared" si="170"/>
        <v/>
      </c>
      <c r="O1106" s="27" t="str">
        <f t="shared" si="171"/>
        <v/>
      </c>
      <c r="P1106" s="27" t="str">
        <f t="shared" si="169"/>
        <v/>
      </c>
      <c r="Q1106" s="27" t="str">
        <f t="shared" si="172"/>
        <v/>
      </c>
    </row>
    <row r="1107" spans="7:17" x14ac:dyDescent="0.25">
      <c r="G1107" s="29" t="str">
        <f t="shared" si="173"/>
        <v>E</v>
      </c>
      <c r="I1107" s="27" t="str">
        <f t="shared" si="168"/>
        <v/>
      </c>
      <c r="M1107" s="27" t="str">
        <f t="shared" si="170"/>
        <v/>
      </c>
      <c r="O1107" s="27" t="str">
        <f t="shared" si="171"/>
        <v/>
      </c>
      <c r="P1107" s="27" t="str">
        <f t="shared" si="169"/>
        <v/>
      </c>
      <c r="Q1107" s="27" t="str">
        <f t="shared" si="172"/>
        <v/>
      </c>
    </row>
    <row r="1108" spans="7:17" x14ac:dyDescent="0.25">
      <c r="G1108" s="29" t="str">
        <f t="shared" si="173"/>
        <v>E</v>
      </c>
      <c r="I1108" s="27" t="str">
        <f t="shared" si="168"/>
        <v/>
      </c>
      <c r="M1108" s="27" t="str">
        <f t="shared" si="170"/>
        <v/>
      </c>
      <c r="O1108" s="27" t="str">
        <f t="shared" si="171"/>
        <v/>
      </c>
      <c r="P1108" s="27" t="str">
        <f t="shared" si="169"/>
        <v/>
      </c>
      <c r="Q1108" s="27" t="str">
        <f t="shared" si="172"/>
        <v/>
      </c>
    </row>
    <row r="1109" spans="7:17" x14ac:dyDescent="0.25">
      <c r="G1109" s="29" t="str">
        <f t="shared" si="173"/>
        <v>E</v>
      </c>
      <c r="I1109" s="27" t="str">
        <f t="shared" si="168"/>
        <v/>
      </c>
      <c r="M1109" s="27" t="str">
        <f t="shared" si="170"/>
        <v/>
      </c>
      <c r="O1109" s="27" t="str">
        <f t="shared" si="171"/>
        <v/>
      </c>
      <c r="P1109" s="27" t="str">
        <f t="shared" si="169"/>
        <v/>
      </c>
      <c r="Q1109" s="27" t="str">
        <f t="shared" si="172"/>
        <v/>
      </c>
    </row>
    <row r="1110" spans="7:17" x14ac:dyDescent="0.25">
      <c r="G1110" s="29" t="str">
        <f t="shared" si="173"/>
        <v>E</v>
      </c>
      <c r="I1110" s="27" t="str">
        <f t="shared" si="168"/>
        <v/>
      </c>
      <c r="M1110" s="27" t="str">
        <f t="shared" si="170"/>
        <v/>
      </c>
      <c r="O1110" s="27" t="str">
        <f t="shared" si="171"/>
        <v/>
      </c>
      <c r="P1110" s="27" t="str">
        <f t="shared" si="169"/>
        <v/>
      </c>
      <c r="Q1110" s="27" t="str">
        <f t="shared" si="172"/>
        <v/>
      </c>
    </row>
    <row r="1111" spans="7:17" x14ac:dyDescent="0.25">
      <c r="G1111" s="29" t="str">
        <f t="shared" si="173"/>
        <v>E</v>
      </c>
      <c r="I1111" s="27" t="str">
        <f t="shared" si="168"/>
        <v/>
      </c>
      <c r="M1111" s="27" t="str">
        <f t="shared" si="170"/>
        <v/>
      </c>
      <c r="O1111" s="27" t="str">
        <f t="shared" si="171"/>
        <v/>
      </c>
      <c r="P1111" s="27" t="str">
        <f t="shared" si="169"/>
        <v/>
      </c>
      <c r="Q1111" s="27" t="str">
        <f t="shared" si="172"/>
        <v/>
      </c>
    </row>
    <row r="1112" spans="7:17" x14ac:dyDescent="0.25">
      <c r="G1112" s="29" t="str">
        <f t="shared" si="173"/>
        <v>E</v>
      </c>
      <c r="I1112" s="27" t="str">
        <f t="shared" ref="I1112:I1175" si="174">IF(H1112="","",VLOOKUP(H1112,$Y$4:$Z$15,2,TRUE))</f>
        <v/>
      </c>
      <c r="M1112" s="27" t="str">
        <f t="shared" si="170"/>
        <v/>
      </c>
      <c r="O1112" s="27" t="str">
        <f t="shared" si="171"/>
        <v/>
      </c>
      <c r="P1112" s="27" t="str">
        <f t="shared" si="169"/>
        <v/>
      </c>
      <c r="Q1112" s="27" t="str">
        <f t="shared" si="172"/>
        <v/>
      </c>
    </row>
    <row r="1113" spans="7:17" x14ac:dyDescent="0.25">
      <c r="G1113" s="29" t="str">
        <f t="shared" si="173"/>
        <v>E</v>
      </c>
      <c r="I1113" s="27" t="str">
        <f t="shared" si="174"/>
        <v/>
      </c>
      <c r="M1113" s="27" t="str">
        <f t="shared" si="170"/>
        <v/>
      </c>
      <c r="O1113" s="27" t="str">
        <f t="shared" si="171"/>
        <v/>
      </c>
      <c r="P1113" s="27" t="str">
        <f t="shared" ref="P1113:P1176" si="175">IF(COUNT(F1113:O1113)=0,"",SUM(F1113:O1113))</f>
        <v/>
      </c>
      <c r="Q1113" s="27" t="str">
        <f t="shared" si="172"/>
        <v/>
      </c>
    </row>
    <row r="1114" spans="7:17" x14ac:dyDescent="0.25">
      <c r="G1114" s="29" t="str">
        <f t="shared" si="173"/>
        <v>E</v>
      </c>
      <c r="I1114" s="27" t="str">
        <f t="shared" si="174"/>
        <v/>
      </c>
      <c r="M1114" s="27" t="str">
        <f t="shared" si="170"/>
        <v/>
      </c>
      <c r="O1114" s="27" t="str">
        <f t="shared" si="171"/>
        <v/>
      </c>
      <c r="P1114" s="27" t="str">
        <f t="shared" si="175"/>
        <v/>
      </c>
      <c r="Q1114" s="27" t="str">
        <f t="shared" si="172"/>
        <v/>
      </c>
    </row>
    <row r="1115" spans="7:17" x14ac:dyDescent="0.25">
      <c r="G1115" s="29" t="str">
        <f t="shared" si="173"/>
        <v>E</v>
      </c>
      <c r="I1115" s="27" t="str">
        <f t="shared" si="174"/>
        <v/>
      </c>
      <c r="M1115" s="27" t="str">
        <f t="shared" si="170"/>
        <v/>
      </c>
      <c r="O1115" s="27" t="str">
        <f t="shared" si="171"/>
        <v/>
      </c>
      <c r="P1115" s="27" t="str">
        <f t="shared" si="175"/>
        <v/>
      </c>
      <c r="Q1115" s="27" t="str">
        <f t="shared" si="172"/>
        <v/>
      </c>
    </row>
    <row r="1116" spans="7:17" x14ac:dyDescent="0.25">
      <c r="G1116" s="29" t="str">
        <f t="shared" si="173"/>
        <v>E</v>
      </c>
      <c r="I1116" s="27" t="str">
        <f t="shared" si="174"/>
        <v/>
      </c>
      <c r="M1116" s="27" t="str">
        <f t="shared" si="170"/>
        <v/>
      </c>
      <c r="O1116" s="27" t="str">
        <f t="shared" si="171"/>
        <v/>
      </c>
      <c r="P1116" s="27" t="str">
        <f t="shared" si="175"/>
        <v/>
      </c>
      <c r="Q1116" s="27" t="str">
        <f t="shared" si="172"/>
        <v/>
      </c>
    </row>
    <row r="1117" spans="7:17" x14ac:dyDescent="0.25">
      <c r="G1117" s="29" t="str">
        <f t="shared" si="173"/>
        <v>E</v>
      </c>
      <c r="I1117" s="27" t="str">
        <f t="shared" si="174"/>
        <v/>
      </c>
      <c r="M1117" s="27" t="str">
        <f t="shared" si="170"/>
        <v/>
      </c>
      <c r="O1117" s="27" t="str">
        <f t="shared" si="171"/>
        <v/>
      </c>
      <c r="P1117" s="27" t="str">
        <f t="shared" si="175"/>
        <v/>
      </c>
      <c r="Q1117" s="27" t="str">
        <f t="shared" si="172"/>
        <v/>
      </c>
    </row>
    <row r="1118" spans="7:17" x14ac:dyDescent="0.25">
      <c r="G1118" s="29" t="str">
        <f t="shared" si="173"/>
        <v>E</v>
      </c>
      <c r="I1118" s="27" t="str">
        <f t="shared" si="174"/>
        <v/>
      </c>
      <c r="M1118" s="27" t="str">
        <f t="shared" si="170"/>
        <v/>
      </c>
      <c r="O1118" s="27" t="str">
        <f t="shared" si="171"/>
        <v/>
      </c>
      <c r="P1118" s="27" t="str">
        <f t="shared" si="175"/>
        <v/>
      </c>
      <c r="Q1118" s="27" t="str">
        <f t="shared" si="172"/>
        <v/>
      </c>
    </row>
    <row r="1119" spans="7:17" x14ac:dyDescent="0.25">
      <c r="G1119" s="29" t="str">
        <f t="shared" si="173"/>
        <v>E</v>
      </c>
      <c r="I1119" s="27" t="str">
        <f t="shared" si="174"/>
        <v/>
      </c>
      <c r="M1119" s="27" t="str">
        <f t="shared" si="170"/>
        <v/>
      </c>
      <c r="O1119" s="27" t="str">
        <f t="shared" si="171"/>
        <v/>
      </c>
      <c r="P1119" s="27" t="str">
        <f t="shared" si="175"/>
        <v/>
      </c>
      <c r="Q1119" s="27" t="str">
        <f t="shared" si="172"/>
        <v/>
      </c>
    </row>
    <row r="1120" spans="7:17" x14ac:dyDescent="0.25">
      <c r="G1120" s="29" t="str">
        <f t="shared" si="173"/>
        <v>E</v>
      </c>
      <c r="I1120" s="27" t="str">
        <f t="shared" si="174"/>
        <v/>
      </c>
      <c r="M1120" s="27" t="str">
        <f t="shared" si="170"/>
        <v/>
      </c>
      <c r="O1120" s="27" t="str">
        <f t="shared" si="171"/>
        <v/>
      </c>
      <c r="P1120" s="27" t="str">
        <f t="shared" si="175"/>
        <v/>
      </c>
      <c r="Q1120" s="27" t="str">
        <f t="shared" si="172"/>
        <v/>
      </c>
    </row>
    <row r="1121" spans="7:17" x14ac:dyDescent="0.25">
      <c r="G1121" s="29" t="str">
        <f t="shared" si="173"/>
        <v>E</v>
      </c>
      <c r="I1121" s="27" t="str">
        <f t="shared" si="174"/>
        <v/>
      </c>
      <c r="M1121" s="27" t="str">
        <f t="shared" si="170"/>
        <v/>
      </c>
      <c r="O1121" s="27" t="str">
        <f t="shared" si="171"/>
        <v/>
      </c>
      <c r="P1121" s="27" t="str">
        <f t="shared" si="175"/>
        <v/>
      </c>
      <c r="Q1121" s="27" t="str">
        <f t="shared" si="172"/>
        <v/>
      </c>
    </row>
    <row r="1122" spans="7:17" x14ac:dyDescent="0.25">
      <c r="G1122" s="29" t="str">
        <f t="shared" si="173"/>
        <v>E</v>
      </c>
      <c r="I1122" s="27" t="str">
        <f t="shared" si="174"/>
        <v/>
      </c>
      <c r="M1122" s="27" t="str">
        <f t="shared" si="170"/>
        <v/>
      </c>
      <c r="O1122" s="27" t="str">
        <f t="shared" si="171"/>
        <v/>
      </c>
      <c r="P1122" s="27" t="str">
        <f t="shared" si="175"/>
        <v/>
      </c>
      <c r="Q1122" s="27" t="str">
        <f t="shared" si="172"/>
        <v/>
      </c>
    </row>
    <row r="1123" spans="7:17" x14ac:dyDescent="0.25">
      <c r="G1123" s="29" t="str">
        <f t="shared" si="173"/>
        <v>E</v>
      </c>
      <c r="I1123" s="27" t="str">
        <f t="shared" si="174"/>
        <v/>
      </c>
      <c r="M1123" s="27" t="str">
        <f t="shared" si="170"/>
        <v/>
      </c>
      <c r="O1123" s="27" t="str">
        <f t="shared" si="171"/>
        <v/>
      </c>
      <c r="P1123" s="27" t="str">
        <f t="shared" si="175"/>
        <v/>
      </c>
      <c r="Q1123" s="27" t="str">
        <f t="shared" si="172"/>
        <v/>
      </c>
    </row>
    <row r="1124" spans="7:17" x14ac:dyDescent="0.25">
      <c r="G1124" s="29" t="str">
        <f t="shared" si="173"/>
        <v>E</v>
      </c>
      <c r="I1124" s="27" t="str">
        <f t="shared" si="174"/>
        <v/>
      </c>
      <c r="M1124" s="27" t="str">
        <f t="shared" si="170"/>
        <v/>
      </c>
      <c r="O1124" s="27" t="str">
        <f t="shared" si="171"/>
        <v/>
      </c>
      <c r="P1124" s="27" t="str">
        <f t="shared" si="175"/>
        <v/>
      </c>
      <c r="Q1124" s="27" t="str">
        <f t="shared" si="172"/>
        <v/>
      </c>
    </row>
    <row r="1125" spans="7:17" x14ac:dyDescent="0.25">
      <c r="G1125" s="29" t="str">
        <f t="shared" si="173"/>
        <v>E</v>
      </c>
      <c r="I1125" s="27" t="str">
        <f t="shared" si="174"/>
        <v/>
      </c>
      <c r="M1125" s="27" t="str">
        <f t="shared" si="170"/>
        <v/>
      </c>
      <c r="O1125" s="27" t="str">
        <f t="shared" si="171"/>
        <v/>
      </c>
      <c r="P1125" s="27" t="str">
        <f t="shared" si="175"/>
        <v/>
      </c>
      <c r="Q1125" s="27" t="str">
        <f t="shared" si="172"/>
        <v/>
      </c>
    </row>
    <row r="1126" spans="7:17" x14ac:dyDescent="0.25">
      <c r="G1126" s="29" t="str">
        <f t="shared" si="173"/>
        <v>E</v>
      </c>
      <c r="I1126" s="27" t="str">
        <f t="shared" si="174"/>
        <v/>
      </c>
      <c r="M1126" s="27" t="str">
        <f t="shared" si="170"/>
        <v/>
      </c>
      <c r="O1126" s="27" t="str">
        <f t="shared" si="171"/>
        <v/>
      </c>
      <c r="P1126" s="27" t="str">
        <f t="shared" si="175"/>
        <v/>
      </c>
      <c r="Q1126" s="27" t="str">
        <f t="shared" si="172"/>
        <v/>
      </c>
    </row>
    <row r="1127" spans="7:17" x14ac:dyDescent="0.25">
      <c r="G1127" s="29" t="str">
        <f t="shared" si="173"/>
        <v>E</v>
      </c>
      <c r="I1127" s="27" t="str">
        <f t="shared" si="174"/>
        <v/>
      </c>
      <c r="M1127" s="27" t="str">
        <f t="shared" si="170"/>
        <v/>
      </c>
      <c r="O1127" s="27" t="str">
        <f t="shared" si="171"/>
        <v/>
      </c>
      <c r="P1127" s="27" t="str">
        <f t="shared" si="175"/>
        <v/>
      </c>
      <c r="Q1127" s="27" t="str">
        <f t="shared" si="172"/>
        <v/>
      </c>
    </row>
    <row r="1128" spans="7:17" x14ac:dyDescent="0.25">
      <c r="G1128" s="29" t="str">
        <f t="shared" si="173"/>
        <v>E</v>
      </c>
      <c r="I1128" s="27" t="str">
        <f t="shared" si="174"/>
        <v/>
      </c>
      <c r="M1128" s="27" t="str">
        <f t="shared" si="170"/>
        <v/>
      </c>
      <c r="O1128" s="27" t="str">
        <f t="shared" si="171"/>
        <v/>
      </c>
      <c r="P1128" s="27" t="str">
        <f t="shared" si="175"/>
        <v/>
      </c>
      <c r="Q1128" s="27" t="str">
        <f t="shared" si="172"/>
        <v/>
      </c>
    </row>
    <row r="1129" spans="7:17" x14ac:dyDescent="0.25">
      <c r="G1129" s="29" t="str">
        <f t="shared" si="173"/>
        <v>E</v>
      </c>
      <c r="I1129" s="27" t="str">
        <f t="shared" si="174"/>
        <v/>
      </c>
      <c r="M1129" s="27" t="str">
        <f t="shared" si="170"/>
        <v/>
      </c>
      <c r="O1129" s="27" t="str">
        <f t="shared" si="171"/>
        <v/>
      </c>
      <c r="P1129" s="27" t="str">
        <f t="shared" si="175"/>
        <v/>
      </c>
      <c r="Q1129" s="27" t="str">
        <f t="shared" si="172"/>
        <v/>
      </c>
    </row>
    <row r="1130" spans="7:17" x14ac:dyDescent="0.25">
      <c r="G1130" s="29" t="str">
        <f t="shared" si="173"/>
        <v>E</v>
      </c>
      <c r="I1130" s="27" t="str">
        <f t="shared" si="174"/>
        <v/>
      </c>
      <c r="M1130" s="27" t="str">
        <f t="shared" si="170"/>
        <v/>
      </c>
      <c r="O1130" s="27" t="str">
        <f t="shared" si="171"/>
        <v/>
      </c>
      <c r="P1130" s="27" t="str">
        <f t="shared" si="175"/>
        <v/>
      </c>
      <c r="Q1130" s="27" t="str">
        <f t="shared" si="172"/>
        <v/>
      </c>
    </row>
    <row r="1131" spans="7:17" x14ac:dyDescent="0.25">
      <c r="G1131" s="29" t="str">
        <f t="shared" si="173"/>
        <v>E</v>
      </c>
      <c r="I1131" s="27" t="str">
        <f t="shared" si="174"/>
        <v/>
      </c>
      <c r="M1131" s="27" t="str">
        <f t="shared" si="170"/>
        <v/>
      </c>
      <c r="O1131" s="27" t="str">
        <f t="shared" si="171"/>
        <v/>
      </c>
      <c r="P1131" s="27" t="str">
        <f t="shared" si="175"/>
        <v/>
      </c>
      <c r="Q1131" s="27" t="str">
        <f t="shared" si="172"/>
        <v/>
      </c>
    </row>
    <row r="1132" spans="7:17" x14ac:dyDescent="0.25">
      <c r="G1132" s="29" t="str">
        <f t="shared" si="173"/>
        <v>E</v>
      </c>
      <c r="I1132" s="27" t="str">
        <f t="shared" si="174"/>
        <v/>
      </c>
      <c r="M1132" s="27" t="str">
        <f t="shared" si="170"/>
        <v/>
      </c>
      <c r="O1132" s="27" t="str">
        <f t="shared" si="171"/>
        <v/>
      </c>
      <c r="P1132" s="27" t="str">
        <f t="shared" si="175"/>
        <v/>
      </c>
      <c r="Q1132" s="27" t="str">
        <f t="shared" si="172"/>
        <v/>
      </c>
    </row>
    <row r="1133" spans="7:17" x14ac:dyDescent="0.25">
      <c r="G1133" s="29" t="str">
        <f t="shared" si="173"/>
        <v>E</v>
      </c>
      <c r="I1133" s="27" t="str">
        <f t="shared" si="174"/>
        <v/>
      </c>
      <c r="M1133" s="27" t="str">
        <f t="shared" si="170"/>
        <v/>
      </c>
      <c r="O1133" s="27" t="str">
        <f t="shared" si="171"/>
        <v/>
      </c>
      <c r="P1133" s="27" t="str">
        <f t="shared" si="175"/>
        <v/>
      </c>
      <c r="Q1133" s="27" t="str">
        <f t="shared" si="172"/>
        <v/>
      </c>
    </row>
    <row r="1134" spans="7:17" x14ac:dyDescent="0.25">
      <c r="G1134" s="29" t="str">
        <f t="shared" si="173"/>
        <v>E</v>
      </c>
      <c r="I1134" s="27" t="str">
        <f t="shared" si="174"/>
        <v/>
      </c>
      <c r="M1134" s="27" t="str">
        <f t="shared" si="170"/>
        <v/>
      </c>
      <c r="O1134" s="27" t="str">
        <f t="shared" si="171"/>
        <v/>
      </c>
      <c r="P1134" s="27" t="str">
        <f t="shared" si="175"/>
        <v/>
      </c>
      <c r="Q1134" s="27" t="str">
        <f t="shared" si="172"/>
        <v/>
      </c>
    </row>
    <row r="1135" spans="7:17" x14ac:dyDescent="0.25">
      <c r="G1135" s="29" t="str">
        <f t="shared" si="173"/>
        <v>E</v>
      </c>
      <c r="I1135" s="27" t="str">
        <f t="shared" si="174"/>
        <v/>
      </c>
      <c r="M1135" s="27" t="str">
        <f t="shared" si="170"/>
        <v/>
      </c>
      <c r="O1135" s="27" t="str">
        <f t="shared" si="171"/>
        <v/>
      </c>
      <c r="P1135" s="27" t="str">
        <f t="shared" si="175"/>
        <v/>
      </c>
      <c r="Q1135" s="27" t="str">
        <f t="shared" si="172"/>
        <v/>
      </c>
    </row>
    <row r="1136" spans="7:17" x14ac:dyDescent="0.25">
      <c r="G1136" s="29" t="str">
        <f t="shared" si="173"/>
        <v>E</v>
      </c>
      <c r="I1136" s="27" t="str">
        <f t="shared" si="174"/>
        <v/>
      </c>
      <c r="M1136" s="27" t="str">
        <f t="shared" si="170"/>
        <v/>
      </c>
      <c r="O1136" s="27" t="str">
        <f t="shared" si="171"/>
        <v/>
      </c>
      <c r="P1136" s="27" t="str">
        <f t="shared" si="175"/>
        <v/>
      </c>
      <c r="Q1136" s="27" t="str">
        <f t="shared" si="172"/>
        <v/>
      </c>
    </row>
    <row r="1137" spans="7:17" x14ac:dyDescent="0.25">
      <c r="G1137" s="29" t="str">
        <f t="shared" si="173"/>
        <v>E</v>
      </c>
      <c r="I1137" s="27" t="str">
        <f t="shared" si="174"/>
        <v/>
      </c>
      <c r="M1137" s="27" t="str">
        <f t="shared" si="170"/>
        <v/>
      </c>
      <c r="O1137" s="27" t="str">
        <f t="shared" si="171"/>
        <v/>
      </c>
      <c r="P1137" s="27" t="str">
        <f t="shared" si="175"/>
        <v/>
      </c>
      <c r="Q1137" s="27" t="str">
        <f t="shared" si="172"/>
        <v/>
      </c>
    </row>
    <row r="1138" spans="7:17" x14ac:dyDescent="0.25">
      <c r="G1138" s="29" t="str">
        <f t="shared" si="173"/>
        <v>E</v>
      </c>
      <c r="I1138" s="27" t="str">
        <f t="shared" si="174"/>
        <v/>
      </c>
      <c r="M1138" s="27" t="str">
        <f t="shared" si="170"/>
        <v/>
      </c>
      <c r="O1138" s="27" t="str">
        <f t="shared" si="171"/>
        <v/>
      </c>
      <c r="P1138" s="27" t="str">
        <f t="shared" si="175"/>
        <v/>
      </c>
      <c r="Q1138" s="27" t="str">
        <f t="shared" si="172"/>
        <v/>
      </c>
    </row>
    <row r="1139" spans="7:17" x14ac:dyDescent="0.25">
      <c r="G1139" s="29" t="str">
        <f t="shared" si="173"/>
        <v>E</v>
      </c>
      <c r="I1139" s="27" t="str">
        <f t="shared" si="174"/>
        <v/>
      </c>
      <c r="M1139" s="27" t="str">
        <f t="shared" si="170"/>
        <v/>
      </c>
      <c r="O1139" s="27" t="str">
        <f t="shared" si="171"/>
        <v/>
      </c>
      <c r="P1139" s="27" t="str">
        <f t="shared" si="175"/>
        <v/>
      </c>
      <c r="Q1139" s="27" t="str">
        <f t="shared" si="172"/>
        <v/>
      </c>
    </row>
    <row r="1140" spans="7:17" x14ac:dyDescent="0.25">
      <c r="G1140" s="29" t="str">
        <f t="shared" si="173"/>
        <v>E</v>
      </c>
      <c r="I1140" s="27" t="str">
        <f t="shared" si="174"/>
        <v/>
      </c>
      <c r="M1140" s="27" t="str">
        <f t="shared" si="170"/>
        <v/>
      </c>
      <c r="O1140" s="27" t="str">
        <f t="shared" si="171"/>
        <v/>
      </c>
      <c r="P1140" s="27" t="str">
        <f t="shared" si="175"/>
        <v/>
      </c>
      <c r="Q1140" s="27" t="str">
        <f t="shared" si="172"/>
        <v/>
      </c>
    </row>
    <row r="1141" spans="7:17" x14ac:dyDescent="0.25">
      <c r="G1141" s="29" t="str">
        <f t="shared" si="173"/>
        <v>E</v>
      </c>
      <c r="I1141" s="27" t="str">
        <f t="shared" si="174"/>
        <v/>
      </c>
      <c r="M1141" s="27" t="str">
        <f t="shared" si="170"/>
        <v/>
      </c>
      <c r="O1141" s="27" t="str">
        <f t="shared" si="171"/>
        <v/>
      </c>
      <c r="P1141" s="27" t="str">
        <f t="shared" si="175"/>
        <v/>
      </c>
      <c r="Q1141" s="27" t="str">
        <f t="shared" si="172"/>
        <v/>
      </c>
    </row>
    <row r="1142" spans="7:17" x14ac:dyDescent="0.25">
      <c r="G1142" s="29" t="str">
        <f t="shared" si="173"/>
        <v>E</v>
      </c>
      <c r="I1142" s="27" t="str">
        <f t="shared" si="174"/>
        <v/>
      </c>
      <c r="M1142" s="27" t="str">
        <f t="shared" si="170"/>
        <v/>
      </c>
      <c r="O1142" s="27" t="str">
        <f t="shared" si="171"/>
        <v/>
      </c>
      <c r="P1142" s="27" t="str">
        <f t="shared" si="175"/>
        <v/>
      </c>
      <c r="Q1142" s="27" t="str">
        <f t="shared" si="172"/>
        <v/>
      </c>
    </row>
    <row r="1143" spans="7:17" x14ac:dyDescent="0.25">
      <c r="G1143" s="29" t="str">
        <f t="shared" si="173"/>
        <v>E</v>
      </c>
      <c r="I1143" s="27" t="str">
        <f t="shared" si="174"/>
        <v/>
      </c>
      <c r="M1143" s="27" t="str">
        <f t="shared" si="170"/>
        <v/>
      </c>
      <c r="O1143" s="27" t="str">
        <f t="shared" si="171"/>
        <v/>
      </c>
      <c r="P1143" s="27" t="str">
        <f t="shared" si="175"/>
        <v/>
      </c>
      <c r="Q1143" s="27" t="str">
        <f t="shared" si="172"/>
        <v/>
      </c>
    </row>
    <row r="1144" spans="7:17" x14ac:dyDescent="0.25">
      <c r="G1144" s="29" t="str">
        <f t="shared" si="173"/>
        <v>E</v>
      </c>
      <c r="I1144" s="27" t="str">
        <f t="shared" si="174"/>
        <v/>
      </c>
      <c r="M1144" s="27" t="str">
        <f t="shared" si="170"/>
        <v/>
      </c>
      <c r="O1144" s="27" t="str">
        <f t="shared" si="171"/>
        <v/>
      </c>
      <c r="P1144" s="27" t="str">
        <f t="shared" si="175"/>
        <v/>
      </c>
      <c r="Q1144" s="27" t="str">
        <f t="shared" si="172"/>
        <v/>
      </c>
    </row>
    <row r="1145" spans="7:17" x14ac:dyDescent="0.25">
      <c r="G1145" s="29" t="str">
        <f t="shared" si="173"/>
        <v>E</v>
      </c>
      <c r="I1145" s="27" t="str">
        <f t="shared" si="174"/>
        <v/>
      </c>
      <c r="M1145" s="27" t="str">
        <f t="shared" si="170"/>
        <v/>
      </c>
      <c r="O1145" s="27" t="str">
        <f t="shared" si="171"/>
        <v/>
      </c>
      <c r="P1145" s="27" t="str">
        <f t="shared" si="175"/>
        <v/>
      </c>
      <c r="Q1145" s="27" t="str">
        <f t="shared" si="172"/>
        <v/>
      </c>
    </row>
    <row r="1146" spans="7:17" x14ac:dyDescent="0.25">
      <c r="G1146" s="29" t="str">
        <f t="shared" si="173"/>
        <v>E</v>
      </c>
      <c r="I1146" s="27" t="str">
        <f t="shared" si="174"/>
        <v/>
      </c>
      <c r="M1146" s="27" t="str">
        <f t="shared" ref="M1146:M1209" si="176">IF(L1146="","",VLOOKUP(L1146,$Y$4:$Z$15,2,TRUE))</f>
        <v/>
      </c>
      <c r="O1146" s="27" t="str">
        <f t="shared" ref="O1146:O1209" si="177">IF(N1146="","",VLOOKUP(N1146,$Y$4:$Z$15,2,TRUE))</f>
        <v/>
      </c>
      <c r="P1146" s="27" t="str">
        <f t="shared" si="175"/>
        <v/>
      </c>
      <c r="Q1146" s="27" t="str">
        <f t="shared" si="172"/>
        <v/>
      </c>
    </row>
    <row r="1147" spans="7:17" x14ac:dyDescent="0.25">
      <c r="G1147" s="29" t="str">
        <f t="shared" si="173"/>
        <v>E</v>
      </c>
      <c r="I1147" s="27" t="str">
        <f t="shared" si="174"/>
        <v/>
      </c>
      <c r="M1147" s="27" t="str">
        <f t="shared" si="176"/>
        <v/>
      </c>
      <c r="O1147" s="27" t="str">
        <f t="shared" si="177"/>
        <v/>
      </c>
      <c r="P1147" s="27" t="str">
        <f t="shared" si="175"/>
        <v/>
      </c>
      <c r="Q1147" s="27" t="str">
        <f t="shared" si="172"/>
        <v/>
      </c>
    </row>
    <row r="1148" spans="7:17" x14ac:dyDescent="0.25">
      <c r="G1148" s="29" t="str">
        <f t="shared" si="173"/>
        <v>E</v>
      </c>
      <c r="I1148" s="27" t="str">
        <f t="shared" si="174"/>
        <v/>
      </c>
      <c r="M1148" s="27" t="str">
        <f t="shared" si="176"/>
        <v/>
      </c>
      <c r="O1148" s="27" t="str">
        <f t="shared" si="177"/>
        <v/>
      </c>
      <c r="P1148" s="27" t="str">
        <f t="shared" si="175"/>
        <v/>
      </c>
      <c r="Q1148" s="27" t="str">
        <f t="shared" si="172"/>
        <v/>
      </c>
    </row>
    <row r="1149" spans="7:17" x14ac:dyDescent="0.25">
      <c r="G1149" s="29" t="str">
        <f t="shared" si="173"/>
        <v>E</v>
      </c>
      <c r="I1149" s="27" t="str">
        <f t="shared" si="174"/>
        <v/>
      </c>
      <c r="M1149" s="27" t="str">
        <f t="shared" si="176"/>
        <v/>
      </c>
      <c r="O1149" s="27" t="str">
        <f t="shared" si="177"/>
        <v/>
      </c>
      <c r="P1149" s="27" t="str">
        <f t="shared" si="175"/>
        <v/>
      </c>
      <c r="Q1149" s="27" t="str">
        <f t="shared" si="172"/>
        <v/>
      </c>
    </row>
    <row r="1150" spans="7:17" x14ac:dyDescent="0.25">
      <c r="G1150" s="29" t="str">
        <f t="shared" si="173"/>
        <v>E</v>
      </c>
      <c r="I1150" s="27" t="str">
        <f t="shared" si="174"/>
        <v/>
      </c>
      <c r="M1150" s="27" t="str">
        <f t="shared" si="176"/>
        <v/>
      </c>
      <c r="O1150" s="27" t="str">
        <f t="shared" si="177"/>
        <v/>
      </c>
      <c r="P1150" s="27" t="str">
        <f t="shared" si="175"/>
        <v/>
      </c>
      <c r="Q1150" s="27" t="str">
        <f t="shared" si="172"/>
        <v/>
      </c>
    </row>
    <row r="1151" spans="7:17" x14ac:dyDescent="0.25">
      <c r="G1151" s="29" t="str">
        <f t="shared" si="173"/>
        <v>E</v>
      </c>
      <c r="I1151" s="27" t="str">
        <f t="shared" si="174"/>
        <v/>
      </c>
      <c r="M1151" s="27" t="str">
        <f t="shared" si="176"/>
        <v/>
      </c>
      <c r="O1151" s="27" t="str">
        <f t="shared" si="177"/>
        <v/>
      </c>
      <c r="P1151" s="27" t="str">
        <f t="shared" si="175"/>
        <v/>
      </c>
      <c r="Q1151" s="27" t="str">
        <f t="shared" si="172"/>
        <v/>
      </c>
    </row>
    <row r="1152" spans="7:17" x14ac:dyDescent="0.25">
      <c r="G1152" s="29" t="str">
        <f t="shared" si="173"/>
        <v>E</v>
      </c>
      <c r="I1152" s="27" t="str">
        <f t="shared" si="174"/>
        <v/>
      </c>
      <c r="M1152" s="27" t="str">
        <f t="shared" si="176"/>
        <v/>
      </c>
      <c r="O1152" s="27" t="str">
        <f t="shared" si="177"/>
        <v/>
      </c>
      <c r="P1152" s="27" t="str">
        <f t="shared" si="175"/>
        <v/>
      </c>
      <c r="Q1152" s="27" t="str">
        <f t="shared" si="172"/>
        <v/>
      </c>
    </row>
    <row r="1153" spans="7:17" x14ac:dyDescent="0.25">
      <c r="G1153" s="29" t="str">
        <f t="shared" si="173"/>
        <v>E</v>
      </c>
      <c r="I1153" s="27" t="str">
        <f t="shared" si="174"/>
        <v/>
      </c>
      <c r="M1153" s="27" t="str">
        <f t="shared" si="176"/>
        <v/>
      </c>
      <c r="O1153" s="27" t="str">
        <f t="shared" si="177"/>
        <v/>
      </c>
      <c r="P1153" s="27" t="str">
        <f t="shared" si="175"/>
        <v/>
      </c>
      <c r="Q1153" s="27" t="str">
        <f t="shared" si="172"/>
        <v/>
      </c>
    </row>
    <row r="1154" spans="7:17" x14ac:dyDescent="0.25">
      <c r="G1154" s="29" t="str">
        <f t="shared" si="173"/>
        <v>E</v>
      </c>
      <c r="I1154" s="27" t="str">
        <f t="shared" si="174"/>
        <v/>
      </c>
      <c r="M1154" s="27" t="str">
        <f t="shared" si="176"/>
        <v/>
      </c>
      <c r="O1154" s="27" t="str">
        <f t="shared" si="177"/>
        <v/>
      </c>
      <c r="P1154" s="27" t="str">
        <f t="shared" si="175"/>
        <v/>
      </c>
      <c r="Q1154" s="27" t="str">
        <f t="shared" si="172"/>
        <v/>
      </c>
    </row>
    <row r="1155" spans="7:17" x14ac:dyDescent="0.25">
      <c r="G1155" s="29" t="str">
        <f t="shared" si="173"/>
        <v>E</v>
      </c>
      <c r="I1155" s="27" t="str">
        <f t="shared" si="174"/>
        <v/>
      </c>
      <c r="M1155" s="27" t="str">
        <f t="shared" si="176"/>
        <v/>
      </c>
      <c r="O1155" s="27" t="str">
        <f t="shared" si="177"/>
        <v/>
      </c>
      <c r="P1155" s="27" t="str">
        <f t="shared" si="175"/>
        <v/>
      </c>
      <c r="Q1155" s="27" t="str">
        <f t="shared" ref="Q1155:Q1218" si="178">IF(P1155="","",P1155/500*12)</f>
        <v/>
      </c>
    </row>
    <row r="1156" spans="7:17" x14ac:dyDescent="0.25">
      <c r="G1156" s="29" t="str">
        <f t="shared" si="173"/>
        <v>E</v>
      </c>
      <c r="I1156" s="27" t="str">
        <f t="shared" si="174"/>
        <v/>
      </c>
      <c r="M1156" s="27" t="str">
        <f t="shared" si="176"/>
        <v/>
      </c>
      <c r="O1156" s="27" t="str">
        <f t="shared" si="177"/>
        <v/>
      </c>
      <c r="P1156" s="27" t="str">
        <f t="shared" si="175"/>
        <v/>
      </c>
      <c r="Q1156" s="27" t="str">
        <f t="shared" si="178"/>
        <v/>
      </c>
    </row>
    <row r="1157" spans="7:17" x14ac:dyDescent="0.25">
      <c r="G1157" s="29" t="str">
        <f t="shared" ref="G1157:G1200" si="179">VLOOKUP(F1157,$Y$4:$Z$15,2,TRUE)</f>
        <v>E</v>
      </c>
      <c r="I1157" s="27" t="str">
        <f t="shared" si="174"/>
        <v/>
      </c>
      <c r="M1157" s="27" t="str">
        <f t="shared" si="176"/>
        <v/>
      </c>
      <c r="O1157" s="27" t="str">
        <f t="shared" si="177"/>
        <v/>
      </c>
      <c r="P1157" s="27" t="str">
        <f t="shared" si="175"/>
        <v/>
      </c>
      <c r="Q1157" s="27" t="str">
        <f t="shared" si="178"/>
        <v/>
      </c>
    </row>
    <row r="1158" spans="7:17" x14ac:dyDescent="0.25">
      <c r="G1158" s="29" t="str">
        <f t="shared" si="179"/>
        <v>E</v>
      </c>
      <c r="I1158" s="27" t="str">
        <f t="shared" si="174"/>
        <v/>
      </c>
      <c r="M1158" s="27" t="str">
        <f t="shared" si="176"/>
        <v/>
      </c>
      <c r="O1158" s="27" t="str">
        <f t="shared" si="177"/>
        <v/>
      </c>
      <c r="P1158" s="27" t="str">
        <f t="shared" si="175"/>
        <v/>
      </c>
      <c r="Q1158" s="27" t="str">
        <f t="shared" si="178"/>
        <v/>
      </c>
    </row>
    <row r="1159" spans="7:17" x14ac:dyDescent="0.25">
      <c r="G1159" s="29" t="str">
        <f t="shared" si="179"/>
        <v>E</v>
      </c>
      <c r="I1159" s="27" t="str">
        <f t="shared" si="174"/>
        <v/>
      </c>
      <c r="M1159" s="27" t="str">
        <f t="shared" si="176"/>
        <v/>
      </c>
      <c r="O1159" s="27" t="str">
        <f t="shared" si="177"/>
        <v/>
      </c>
      <c r="P1159" s="27" t="str">
        <f t="shared" si="175"/>
        <v/>
      </c>
      <c r="Q1159" s="27" t="str">
        <f t="shared" si="178"/>
        <v/>
      </c>
    </row>
    <row r="1160" spans="7:17" x14ac:dyDescent="0.25">
      <c r="G1160" s="29" t="str">
        <f t="shared" si="179"/>
        <v>E</v>
      </c>
      <c r="I1160" s="27" t="str">
        <f t="shared" si="174"/>
        <v/>
      </c>
      <c r="M1160" s="27" t="str">
        <f t="shared" si="176"/>
        <v/>
      </c>
      <c r="O1160" s="27" t="str">
        <f t="shared" si="177"/>
        <v/>
      </c>
      <c r="P1160" s="27" t="str">
        <f t="shared" si="175"/>
        <v/>
      </c>
      <c r="Q1160" s="27" t="str">
        <f t="shared" si="178"/>
        <v/>
      </c>
    </row>
    <row r="1161" spans="7:17" x14ac:dyDescent="0.25">
      <c r="G1161" s="29" t="str">
        <f t="shared" si="179"/>
        <v>E</v>
      </c>
      <c r="I1161" s="27" t="str">
        <f t="shared" si="174"/>
        <v/>
      </c>
      <c r="M1161" s="27" t="str">
        <f t="shared" si="176"/>
        <v/>
      </c>
      <c r="O1161" s="27" t="str">
        <f t="shared" si="177"/>
        <v/>
      </c>
      <c r="P1161" s="27" t="str">
        <f t="shared" si="175"/>
        <v/>
      </c>
      <c r="Q1161" s="27" t="str">
        <f t="shared" si="178"/>
        <v/>
      </c>
    </row>
    <row r="1162" spans="7:17" x14ac:dyDescent="0.25">
      <c r="G1162" s="29" t="str">
        <f t="shared" si="179"/>
        <v>E</v>
      </c>
      <c r="I1162" s="27" t="str">
        <f t="shared" si="174"/>
        <v/>
      </c>
      <c r="M1162" s="27" t="str">
        <f t="shared" si="176"/>
        <v/>
      </c>
      <c r="O1162" s="27" t="str">
        <f t="shared" si="177"/>
        <v/>
      </c>
      <c r="P1162" s="27" t="str">
        <f t="shared" si="175"/>
        <v/>
      </c>
      <c r="Q1162" s="27" t="str">
        <f t="shared" si="178"/>
        <v/>
      </c>
    </row>
    <row r="1163" spans="7:17" x14ac:dyDescent="0.25">
      <c r="G1163" s="29" t="str">
        <f t="shared" si="179"/>
        <v>E</v>
      </c>
      <c r="I1163" s="27" t="str">
        <f t="shared" si="174"/>
        <v/>
      </c>
      <c r="M1163" s="27" t="str">
        <f t="shared" si="176"/>
        <v/>
      </c>
      <c r="O1163" s="27" t="str">
        <f t="shared" si="177"/>
        <v/>
      </c>
      <c r="P1163" s="27" t="str">
        <f t="shared" si="175"/>
        <v/>
      </c>
      <c r="Q1163" s="27" t="str">
        <f t="shared" si="178"/>
        <v/>
      </c>
    </row>
    <row r="1164" spans="7:17" x14ac:dyDescent="0.25">
      <c r="G1164" s="29" t="str">
        <f t="shared" si="179"/>
        <v>E</v>
      </c>
      <c r="I1164" s="27" t="str">
        <f t="shared" si="174"/>
        <v/>
      </c>
      <c r="M1164" s="27" t="str">
        <f t="shared" si="176"/>
        <v/>
      </c>
      <c r="O1164" s="27" t="str">
        <f t="shared" si="177"/>
        <v/>
      </c>
      <c r="P1164" s="27" t="str">
        <f t="shared" si="175"/>
        <v/>
      </c>
      <c r="Q1164" s="27" t="str">
        <f t="shared" si="178"/>
        <v/>
      </c>
    </row>
    <row r="1165" spans="7:17" x14ac:dyDescent="0.25">
      <c r="G1165" s="29" t="str">
        <f t="shared" si="179"/>
        <v>E</v>
      </c>
      <c r="I1165" s="27" t="str">
        <f t="shared" si="174"/>
        <v/>
      </c>
      <c r="M1165" s="27" t="str">
        <f t="shared" si="176"/>
        <v/>
      </c>
      <c r="O1165" s="27" t="str">
        <f t="shared" si="177"/>
        <v/>
      </c>
      <c r="P1165" s="27" t="str">
        <f t="shared" si="175"/>
        <v/>
      </c>
      <c r="Q1165" s="27" t="str">
        <f t="shared" si="178"/>
        <v/>
      </c>
    </row>
    <row r="1166" spans="7:17" x14ac:dyDescent="0.25">
      <c r="G1166" s="29" t="str">
        <f t="shared" si="179"/>
        <v>E</v>
      </c>
      <c r="I1166" s="27" t="str">
        <f t="shared" si="174"/>
        <v/>
      </c>
      <c r="M1166" s="27" t="str">
        <f t="shared" si="176"/>
        <v/>
      </c>
      <c r="O1166" s="27" t="str">
        <f t="shared" si="177"/>
        <v/>
      </c>
      <c r="P1166" s="27" t="str">
        <f t="shared" si="175"/>
        <v/>
      </c>
      <c r="Q1166" s="27" t="str">
        <f t="shared" si="178"/>
        <v/>
      </c>
    </row>
    <row r="1167" spans="7:17" x14ac:dyDescent="0.25">
      <c r="G1167" s="29" t="str">
        <f t="shared" si="179"/>
        <v>E</v>
      </c>
      <c r="I1167" s="27" t="str">
        <f t="shared" si="174"/>
        <v/>
      </c>
      <c r="M1167" s="27" t="str">
        <f t="shared" si="176"/>
        <v/>
      </c>
      <c r="O1167" s="27" t="str">
        <f t="shared" si="177"/>
        <v/>
      </c>
      <c r="P1167" s="27" t="str">
        <f t="shared" si="175"/>
        <v/>
      </c>
      <c r="Q1167" s="27" t="str">
        <f t="shared" si="178"/>
        <v/>
      </c>
    </row>
    <row r="1168" spans="7:17" x14ac:dyDescent="0.25">
      <c r="G1168" s="29" t="str">
        <f t="shared" si="179"/>
        <v>E</v>
      </c>
      <c r="I1168" s="27" t="str">
        <f t="shared" si="174"/>
        <v/>
      </c>
      <c r="M1168" s="27" t="str">
        <f t="shared" si="176"/>
        <v/>
      </c>
      <c r="O1168" s="27" t="str">
        <f t="shared" si="177"/>
        <v/>
      </c>
      <c r="P1168" s="27" t="str">
        <f t="shared" si="175"/>
        <v/>
      </c>
      <c r="Q1168" s="27" t="str">
        <f t="shared" si="178"/>
        <v/>
      </c>
    </row>
    <row r="1169" spans="7:17" x14ac:dyDescent="0.25">
      <c r="G1169" s="29" t="str">
        <f t="shared" si="179"/>
        <v>E</v>
      </c>
      <c r="I1169" s="27" t="str">
        <f t="shared" si="174"/>
        <v/>
      </c>
      <c r="M1169" s="27" t="str">
        <f t="shared" si="176"/>
        <v/>
      </c>
      <c r="O1169" s="27" t="str">
        <f t="shared" si="177"/>
        <v/>
      </c>
      <c r="P1169" s="27" t="str">
        <f t="shared" si="175"/>
        <v/>
      </c>
      <c r="Q1169" s="27" t="str">
        <f t="shared" si="178"/>
        <v/>
      </c>
    </row>
    <row r="1170" spans="7:17" x14ac:dyDescent="0.25">
      <c r="G1170" s="29" t="str">
        <f t="shared" si="179"/>
        <v>E</v>
      </c>
      <c r="I1170" s="27" t="str">
        <f t="shared" si="174"/>
        <v/>
      </c>
      <c r="M1170" s="27" t="str">
        <f t="shared" si="176"/>
        <v/>
      </c>
      <c r="O1170" s="27" t="str">
        <f t="shared" si="177"/>
        <v/>
      </c>
      <c r="P1170" s="27" t="str">
        <f t="shared" si="175"/>
        <v/>
      </c>
      <c r="Q1170" s="27" t="str">
        <f t="shared" si="178"/>
        <v/>
      </c>
    </row>
    <row r="1171" spans="7:17" x14ac:dyDescent="0.25">
      <c r="G1171" s="29" t="str">
        <f t="shared" si="179"/>
        <v>E</v>
      </c>
      <c r="I1171" s="27" t="str">
        <f t="shared" si="174"/>
        <v/>
      </c>
      <c r="M1171" s="27" t="str">
        <f t="shared" si="176"/>
        <v/>
      </c>
      <c r="O1171" s="27" t="str">
        <f t="shared" si="177"/>
        <v/>
      </c>
      <c r="P1171" s="27" t="str">
        <f t="shared" si="175"/>
        <v/>
      </c>
      <c r="Q1171" s="27" t="str">
        <f t="shared" si="178"/>
        <v/>
      </c>
    </row>
    <row r="1172" spans="7:17" x14ac:dyDescent="0.25">
      <c r="G1172" s="29" t="str">
        <f t="shared" si="179"/>
        <v>E</v>
      </c>
      <c r="I1172" s="27" t="str">
        <f t="shared" si="174"/>
        <v/>
      </c>
      <c r="M1172" s="27" t="str">
        <f t="shared" si="176"/>
        <v/>
      </c>
      <c r="O1172" s="27" t="str">
        <f t="shared" si="177"/>
        <v/>
      </c>
      <c r="P1172" s="27" t="str">
        <f t="shared" si="175"/>
        <v/>
      </c>
      <c r="Q1172" s="27" t="str">
        <f t="shared" si="178"/>
        <v/>
      </c>
    </row>
    <row r="1173" spans="7:17" x14ac:dyDescent="0.25">
      <c r="G1173" s="29" t="str">
        <f t="shared" si="179"/>
        <v>E</v>
      </c>
      <c r="I1173" s="27" t="str">
        <f t="shared" si="174"/>
        <v/>
      </c>
      <c r="M1173" s="27" t="str">
        <f t="shared" si="176"/>
        <v/>
      </c>
      <c r="O1173" s="27" t="str">
        <f t="shared" si="177"/>
        <v/>
      </c>
      <c r="P1173" s="27" t="str">
        <f t="shared" si="175"/>
        <v/>
      </c>
      <c r="Q1173" s="27" t="str">
        <f t="shared" si="178"/>
        <v/>
      </c>
    </row>
    <row r="1174" spans="7:17" x14ac:dyDescent="0.25">
      <c r="G1174" s="29" t="str">
        <f t="shared" si="179"/>
        <v>E</v>
      </c>
      <c r="I1174" s="27" t="str">
        <f t="shared" si="174"/>
        <v/>
      </c>
      <c r="M1174" s="27" t="str">
        <f t="shared" si="176"/>
        <v/>
      </c>
      <c r="O1174" s="27" t="str">
        <f t="shared" si="177"/>
        <v/>
      </c>
      <c r="P1174" s="27" t="str">
        <f t="shared" si="175"/>
        <v/>
      </c>
      <c r="Q1174" s="27" t="str">
        <f t="shared" si="178"/>
        <v/>
      </c>
    </row>
    <row r="1175" spans="7:17" x14ac:dyDescent="0.25">
      <c r="G1175" s="29" t="str">
        <f t="shared" si="179"/>
        <v>E</v>
      </c>
      <c r="I1175" s="27" t="str">
        <f t="shared" si="174"/>
        <v/>
      </c>
      <c r="M1175" s="27" t="str">
        <f t="shared" si="176"/>
        <v/>
      </c>
      <c r="O1175" s="27" t="str">
        <f t="shared" si="177"/>
        <v/>
      </c>
      <c r="P1175" s="27" t="str">
        <f t="shared" si="175"/>
        <v/>
      </c>
      <c r="Q1175" s="27" t="str">
        <f t="shared" si="178"/>
        <v/>
      </c>
    </row>
    <row r="1176" spans="7:17" x14ac:dyDescent="0.25">
      <c r="G1176" s="29" t="str">
        <f t="shared" si="179"/>
        <v>E</v>
      </c>
      <c r="I1176" s="27" t="str">
        <f t="shared" ref="I1176:I1238" si="180">IF(H1176="","",VLOOKUP(H1176,$Y$4:$Z$15,2,TRUE))</f>
        <v/>
      </c>
      <c r="M1176" s="27" t="str">
        <f t="shared" si="176"/>
        <v/>
      </c>
      <c r="O1176" s="27" t="str">
        <f t="shared" si="177"/>
        <v/>
      </c>
      <c r="P1176" s="27" t="str">
        <f t="shared" si="175"/>
        <v/>
      </c>
      <c r="Q1176" s="27" t="str">
        <f t="shared" si="178"/>
        <v/>
      </c>
    </row>
    <row r="1177" spans="7:17" x14ac:dyDescent="0.25">
      <c r="G1177" s="29" t="str">
        <f t="shared" si="179"/>
        <v>E</v>
      </c>
      <c r="I1177" s="27" t="str">
        <f t="shared" si="180"/>
        <v/>
      </c>
      <c r="M1177" s="27" t="str">
        <f t="shared" si="176"/>
        <v/>
      </c>
      <c r="O1177" s="27" t="str">
        <f t="shared" si="177"/>
        <v/>
      </c>
      <c r="P1177" s="27" t="str">
        <f t="shared" ref="P1177:P1240" si="181">IF(COUNT(F1177:O1177)=0,"",SUM(F1177:O1177))</f>
        <v/>
      </c>
      <c r="Q1177" s="27" t="str">
        <f t="shared" si="178"/>
        <v/>
      </c>
    </row>
    <row r="1178" spans="7:17" x14ac:dyDescent="0.25">
      <c r="G1178" s="29" t="str">
        <f t="shared" si="179"/>
        <v>E</v>
      </c>
      <c r="I1178" s="27" t="str">
        <f t="shared" si="180"/>
        <v/>
      </c>
      <c r="M1178" s="27" t="str">
        <f t="shared" si="176"/>
        <v/>
      </c>
      <c r="O1178" s="27" t="str">
        <f t="shared" si="177"/>
        <v/>
      </c>
      <c r="P1178" s="27" t="str">
        <f t="shared" si="181"/>
        <v/>
      </c>
      <c r="Q1178" s="27" t="str">
        <f t="shared" si="178"/>
        <v/>
      </c>
    </row>
    <row r="1179" spans="7:17" x14ac:dyDescent="0.25">
      <c r="G1179" s="29" t="str">
        <f t="shared" si="179"/>
        <v>E</v>
      </c>
      <c r="I1179" s="27" t="str">
        <f t="shared" si="180"/>
        <v/>
      </c>
      <c r="M1179" s="27" t="str">
        <f t="shared" si="176"/>
        <v/>
      </c>
      <c r="O1179" s="27" t="str">
        <f t="shared" si="177"/>
        <v/>
      </c>
      <c r="P1179" s="27" t="str">
        <f t="shared" si="181"/>
        <v/>
      </c>
      <c r="Q1179" s="27" t="str">
        <f t="shared" si="178"/>
        <v/>
      </c>
    </row>
    <row r="1180" spans="7:17" x14ac:dyDescent="0.25">
      <c r="G1180" s="29" t="str">
        <f t="shared" si="179"/>
        <v>E</v>
      </c>
      <c r="I1180" s="27" t="str">
        <f t="shared" si="180"/>
        <v/>
      </c>
      <c r="M1180" s="27" t="str">
        <f t="shared" si="176"/>
        <v/>
      </c>
      <c r="O1180" s="27" t="str">
        <f t="shared" si="177"/>
        <v/>
      </c>
      <c r="P1180" s="27" t="str">
        <f t="shared" si="181"/>
        <v/>
      </c>
      <c r="Q1180" s="27" t="str">
        <f t="shared" si="178"/>
        <v/>
      </c>
    </row>
    <row r="1181" spans="7:17" x14ac:dyDescent="0.25">
      <c r="G1181" s="29" t="str">
        <f t="shared" si="179"/>
        <v>E</v>
      </c>
      <c r="I1181" s="27" t="str">
        <f t="shared" si="180"/>
        <v/>
      </c>
      <c r="M1181" s="27" t="str">
        <f t="shared" si="176"/>
        <v/>
      </c>
      <c r="O1181" s="27" t="str">
        <f t="shared" si="177"/>
        <v/>
      </c>
      <c r="P1181" s="27" t="str">
        <f t="shared" si="181"/>
        <v/>
      </c>
      <c r="Q1181" s="27" t="str">
        <f t="shared" si="178"/>
        <v/>
      </c>
    </row>
    <row r="1182" spans="7:17" x14ac:dyDescent="0.25">
      <c r="G1182" s="29" t="str">
        <f t="shared" si="179"/>
        <v>E</v>
      </c>
      <c r="I1182" s="27" t="str">
        <f t="shared" si="180"/>
        <v/>
      </c>
      <c r="M1182" s="27" t="str">
        <f t="shared" si="176"/>
        <v/>
      </c>
      <c r="O1182" s="27" t="str">
        <f t="shared" si="177"/>
        <v/>
      </c>
      <c r="P1182" s="27" t="str">
        <f t="shared" si="181"/>
        <v/>
      </c>
      <c r="Q1182" s="27" t="str">
        <f t="shared" si="178"/>
        <v/>
      </c>
    </row>
    <row r="1183" spans="7:17" x14ac:dyDescent="0.25">
      <c r="G1183" s="29" t="str">
        <f t="shared" si="179"/>
        <v>E</v>
      </c>
      <c r="I1183" s="27" t="str">
        <f t="shared" si="180"/>
        <v/>
      </c>
      <c r="M1183" s="27" t="str">
        <f t="shared" si="176"/>
        <v/>
      </c>
      <c r="O1183" s="27" t="str">
        <f t="shared" si="177"/>
        <v/>
      </c>
      <c r="P1183" s="27" t="str">
        <f t="shared" si="181"/>
        <v/>
      </c>
      <c r="Q1183" s="27" t="str">
        <f t="shared" si="178"/>
        <v/>
      </c>
    </row>
    <row r="1184" spans="7:17" x14ac:dyDescent="0.25">
      <c r="G1184" s="29" t="str">
        <f t="shared" si="179"/>
        <v>E</v>
      </c>
      <c r="I1184" s="27" t="str">
        <f t="shared" si="180"/>
        <v/>
      </c>
      <c r="M1184" s="27" t="str">
        <f t="shared" si="176"/>
        <v/>
      </c>
      <c r="O1184" s="27" t="str">
        <f t="shared" si="177"/>
        <v/>
      </c>
      <c r="P1184" s="27" t="str">
        <f t="shared" si="181"/>
        <v/>
      </c>
      <c r="Q1184" s="27" t="str">
        <f t="shared" si="178"/>
        <v/>
      </c>
    </row>
    <row r="1185" spans="7:17" x14ac:dyDescent="0.25">
      <c r="G1185" s="29" t="str">
        <f t="shared" si="179"/>
        <v>E</v>
      </c>
      <c r="I1185" s="27" t="str">
        <f t="shared" si="180"/>
        <v/>
      </c>
      <c r="M1185" s="27" t="str">
        <f t="shared" si="176"/>
        <v/>
      </c>
      <c r="O1185" s="27" t="str">
        <f t="shared" si="177"/>
        <v/>
      </c>
      <c r="P1185" s="27" t="str">
        <f t="shared" si="181"/>
        <v/>
      </c>
      <c r="Q1185" s="27" t="str">
        <f t="shared" si="178"/>
        <v/>
      </c>
    </row>
    <row r="1186" spans="7:17" x14ac:dyDescent="0.25">
      <c r="G1186" s="29" t="str">
        <f t="shared" si="179"/>
        <v>E</v>
      </c>
      <c r="I1186" s="27" t="str">
        <f t="shared" si="180"/>
        <v/>
      </c>
      <c r="M1186" s="27" t="str">
        <f t="shared" si="176"/>
        <v/>
      </c>
      <c r="O1186" s="27" t="str">
        <f t="shared" si="177"/>
        <v/>
      </c>
      <c r="P1186" s="27" t="str">
        <f t="shared" si="181"/>
        <v/>
      </c>
      <c r="Q1186" s="27" t="str">
        <f t="shared" si="178"/>
        <v/>
      </c>
    </row>
    <row r="1187" spans="7:17" x14ac:dyDescent="0.25">
      <c r="G1187" s="29" t="str">
        <f t="shared" si="179"/>
        <v>E</v>
      </c>
      <c r="I1187" s="27" t="str">
        <f t="shared" si="180"/>
        <v/>
      </c>
      <c r="M1187" s="27" t="str">
        <f t="shared" si="176"/>
        <v/>
      </c>
      <c r="O1187" s="27" t="str">
        <f t="shared" si="177"/>
        <v/>
      </c>
      <c r="P1187" s="27" t="str">
        <f t="shared" si="181"/>
        <v/>
      </c>
      <c r="Q1187" s="27" t="str">
        <f t="shared" si="178"/>
        <v/>
      </c>
    </row>
    <row r="1188" spans="7:17" x14ac:dyDescent="0.25">
      <c r="G1188" s="29" t="str">
        <f t="shared" si="179"/>
        <v>E</v>
      </c>
      <c r="I1188" s="27" t="str">
        <f t="shared" si="180"/>
        <v/>
      </c>
      <c r="M1188" s="27" t="str">
        <f t="shared" si="176"/>
        <v/>
      </c>
      <c r="O1188" s="27" t="str">
        <f t="shared" si="177"/>
        <v/>
      </c>
      <c r="P1188" s="27" t="str">
        <f t="shared" si="181"/>
        <v/>
      </c>
      <c r="Q1188" s="27" t="str">
        <f t="shared" si="178"/>
        <v/>
      </c>
    </row>
    <row r="1189" spans="7:17" x14ac:dyDescent="0.25">
      <c r="G1189" s="29" t="str">
        <f t="shared" si="179"/>
        <v>E</v>
      </c>
      <c r="I1189" s="27" t="str">
        <f t="shared" si="180"/>
        <v/>
      </c>
      <c r="M1189" s="27" t="str">
        <f t="shared" si="176"/>
        <v/>
      </c>
      <c r="O1189" s="27" t="str">
        <f t="shared" si="177"/>
        <v/>
      </c>
      <c r="P1189" s="27" t="str">
        <f t="shared" si="181"/>
        <v/>
      </c>
      <c r="Q1189" s="27" t="str">
        <f t="shared" si="178"/>
        <v/>
      </c>
    </row>
    <row r="1190" spans="7:17" x14ac:dyDescent="0.25">
      <c r="G1190" s="29" t="str">
        <f t="shared" si="179"/>
        <v>E</v>
      </c>
      <c r="I1190" s="27" t="str">
        <f t="shared" si="180"/>
        <v/>
      </c>
      <c r="M1190" s="27" t="str">
        <f t="shared" si="176"/>
        <v/>
      </c>
      <c r="O1190" s="27" t="str">
        <f t="shared" si="177"/>
        <v/>
      </c>
      <c r="P1190" s="27" t="str">
        <f t="shared" si="181"/>
        <v/>
      </c>
      <c r="Q1190" s="27" t="str">
        <f t="shared" si="178"/>
        <v/>
      </c>
    </row>
    <row r="1191" spans="7:17" x14ac:dyDescent="0.25">
      <c r="G1191" s="29" t="str">
        <f t="shared" si="179"/>
        <v>E</v>
      </c>
      <c r="I1191" s="27" t="str">
        <f t="shared" si="180"/>
        <v/>
      </c>
      <c r="M1191" s="27" t="str">
        <f t="shared" si="176"/>
        <v/>
      </c>
      <c r="O1191" s="27" t="str">
        <f t="shared" si="177"/>
        <v/>
      </c>
      <c r="P1191" s="27" t="str">
        <f t="shared" si="181"/>
        <v/>
      </c>
      <c r="Q1191" s="27" t="str">
        <f t="shared" si="178"/>
        <v/>
      </c>
    </row>
    <row r="1192" spans="7:17" x14ac:dyDescent="0.25">
      <c r="G1192" s="29" t="str">
        <f t="shared" si="179"/>
        <v>E</v>
      </c>
      <c r="I1192" s="27" t="str">
        <f t="shared" si="180"/>
        <v/>
      </c>
      <c r="M1192" s="27" t="str">
        <f t="shared" si="176"/>
        <v/>
      </c>
      <c r="O1192" s="27" t="str">
        <f t="shared" si="177"/>
        <v/>
      </c>
      <c r="P1192" s="27" t="str">
        <f t="shared" si="181"/>
        <v/>
      </c>
      <c r="Q1192" s="27" t="str">
        <f t="shared" si="178"/>
        <v/>
      </c>
    </row>
    <row r="1193" spans="7:17" x14ac:dyDescent="0.25">
      <c r="G1193" s="29" t="str">
        <f t="shared" si="179"/>
        <v>E</v>
      </c>
      <c r="I1193" s="27" t="str">
        <f t="shared" si="180"/>
        <v/>
      </c>
      <c r="M1193" s="27" t="str">
        <f t="shared" si="176"/>
        <v/>
      </c>
      <c r="O1193" s="27" t="str">
        <f t="shared" si="177"/>
        <v/>
      </c>
      <c r="P1193" s="27" t="str">
        <f t="shared" si="181"/>
        <v/>
      </c>
      <c r="Q1193" s="27" t="str">
        <f t="shared" si="178"/>
        <v/>
      </c>
    </row>
    <row r="1194" spans="7:17" x14ac:dyDescent="0.25">
      <c r="G1194" s="29" t="str">
        <f t="shared" si="179"/>
        <v>E</v>
      </c>
      <c r="I1194" s="27" t="str">
        <f t="shared" si="180"/>
        <v/>
      </c>
      <c r="M1194" s="27" t="str">
        <f t="shared" si="176"/>
        <v/>
      </c>
      <c r="O1194" s="27" t="str">
        <f t="shared" si="177"/>
        <v/>
      </c>
      <c r="P1194" s="27" t="str">
        <f t="shared" si="181"/>
        <v/>
      </c>
      <c r="Q1194" s="27" t="str">
        <f t="shared" si="178"/>
        <v/>
      </c>
    </row>
    <row r="1195" spans="7:17" x14ac:dyDescent="0.25">
      <c r="G1195" s="29" t="str">
        <f t="shared" si="179"/>
        <v>E</v>
      </c>
      <c r="I1195" s="27" t="str">
        <f t="shared" si="180"/>
        <v/>
      </c>
      <c r="M1195" s="27" t="str">
        <f t="shared" si="176"/>
        <v/>
      </c>
      <c r="O1195" s="27" t="str">
        <f t="shared" si="177"/>
        <v/>
      </c>
      <c r="P1195" s="27" t="str">
        <f t="shared" si="181"/>
        <v/>
      </c>
      <c r="Q1195" s="27" t="str">
        <f t="shared" si="178"/>
        <v/>
      </c>
    </row>
    <row r="1196" spans="7:17" x14ac:dyDescent="0.25">
      <c r="G1196" s="29" t="str">
        <f t="shared" si="179"/>
        <v>E</v>
      </c>
      <c r="I1196" s="27" t="str">
        <f t="shared" si="180"/>
        <v/>
      </c>
      <c r="M1196" s="27" t="str">
        <f t="shared" si="176"/>
        <v/>
      </c>
      <c r="O1196" s="27" t="str">
        <f t="shared" si="177"/>
        <v/>
      </c>
      <c r="P1196" s="27" t="str">
        <f t="shared" si="181"/>
        <v/>
      </c>
      <c r="Q1196" s="27" t="str">
        <f t="shared" si="178"/>
        <v/>
      </c>
    </row>
    <row r="1197" spans="7:17" x14ac:dyDescent="0.25">
      <c r="G1197" s="29" t="str">
        <f t="shared" si="179"/>
        <v>E</v>
      </c>
      <c r="I1197" s="27" t="str">
        <f t="shared" si="180"/>
        <v/>
      </c>
      <c r="M1197" s="27" t="str">
        <f t="shared" si="176"/>
        <v/>
      </c>
      <c r="O1197" s="27" t="str">
        <f t="shared" si="177"/>
        <v/>
      </c>
      <c r="P1197" s="27" t="str">
        <f t="shared" si="181"/>
        <v/>
      </c>
      <c r="Q1197" s="27" t="str">
        <f t="shared" si="178"/>
        <v/>
      </c>
    </row>
    <row r="1198" spans="7:17" x14ac:dyDescent="0.25">
      <c r="G1198" s="29" t="str">
        <f t="shared" si="179"/>
        <v>E</v>
      </c>
      <c r="I1198" s="27" t="str">
        <f t="shared" si="180"/>
        <v/>
      </c>
      <c r="M1198" s="27" t="str">
        <f t="shared" si="176"/>
        <v/>
      </c>
      <c r="O1198" s="27" t="str">
        <f t="shared" si="177"/>
        <v/>
      </c>
      <c r="P1198" s="27" t="str">
        <f t="shared" si="181"/>
        <v/>
      </c>
      <c r="Q1198" s="27" t="str">
        <f t="shared" si="178"/>
        <v/>
      </c>
    </row>
    <row r="1199" spans="7:17" x14ac:dyDescent="0.25">
      <c r="G1199" s="29" t="str">
        <f t="shared" si="179"/>
        <v>E</v>
      </c>
      <c r="I1199" s="27" t="str">
        <f t="shared" si="180"/>
        <v/>
      </c>
      <c r="M1199" s="27" t="str">
        <f t="shared" si="176"/>
        <v/>
      </c>
      <c r="O1199" s="27" t="str">
        <f t="shared" si="177"/>
        <v/>
      </c>
      <c r="P1199" s="27" t="str">
        <f t="shared" si="181"/>
        <v/>
      </c>
      <c r="Q1199" s="27" t="str">
        <f t="shared" si="178"/>
        <v/>
      </c>
    </row>
    <row r="1200" spans="7:17" x14ac:dyDescent="0.25">
      <c r="G1200" s="29" t="str">
        <f t="shared" si="179"/>
        <v>E</v>
      </c>
      <c r="I1200" s="27" t="str">
        <f t="shared" si="180"/>
        <v/>
      </c>
      <c r="M1200" s="27" t="str">
        <f t="shared" si="176"/>
        <v/>
      </c>
      <c r="O1200" s="27" t="str">
        <f t="shared" si="177"/>
        <v/>
      </c>
      <c r="P1200" s="27" t="str">
        <f t="shared" si="181"/>
        <v/>
      </c>
      <c r="Q1200" s="27" t="str">
        <f t="shared" si="178"/>
        <v/>
      </c>
    </row>
    <row r="1201" spans="9:17" x14ac:dyDescent="0.25">
      <c r="I1201" s="27" t="str">
        <f t="shared" si="180"/>
        <v/>
      </c>
      <c r="M1201" s="27" t="str">
        <f t="shared" si="176"/>
        <v/>
      </c>
      <c r="O1201" s="27" t="str">
        <f t="shared" si="177"/>
        <v/>
      </c>
      <c r="P1201" s="27" t="str">
        <f t="shared" si="181"/>
        <v/>
      </c>
      <c r="Q1201" s="27" t="str">
        <f t="shared" si="178"/>
        <v/>
      </c>
    </row>
    <row r="1202" spans="9:17" x14ac:dyDescent="0.25">
      <c r="I1202" s="27" t="str">
        <f t="shared" si="180"/>
        <v/>
      </c>
      <c r="M1202" s="27" t="str">
        <f t="shared" si="176"/>
        <v/>
      </c>
      <c r="O1202" s="27" t="str">
        <f t="shared" si="177"/>
        <v/>
      </c>
      <c r="P1202" s="27" t="str">
        <f t="shared" si="181"/>
        <v/>
      </c>
      <c r="Q1202" s="27" t="str">
        <f t="shared" si="178"/>
        <v/>
      </c>
    </row>
    <row r="1203" spans="9:17" x14ac:dyDescent="0.25">
      <c r="I1203" s="27" t="str">
        <f t="shared" si="180"/>
        <v/>
      </c>
      <c r="M1203" s="27" t="str">
        <f t="shared" si="176"/>
        <v/>
      </c>
      <c r="O1203" s="27" t="str">
        <f t="shared" si="177"/>
        <v/>
      </c>
      <c r="P1203" s="27" t="str">
        <f t="shared" si="181"/>
        <v/>
      </c>
      <c r="Q1203" s="27" t="str">
        <f t="shared" si="178"/>
        <v/>
      </c>
    </row>
    <row r="1204" spans="9:17" x14ac:dyDescent="0.25">
      <c r="I1204" s="27" t="str">
        <f t="shared" si="180"/>
        <v/>
      </c>
      <c r="M1204" s="27" t="str">
        <f t="shared" si="176"/>
        <v/>
      </c>
      <c r="O1204" s="27" t="str">
        <f t="shared" si="177"/>
        <v/>
      </c>
      <c r="P1204" s="27" t="str">
        <f t="shared" si="181"/>
        <v/>
      </c>
      <c r="Q1204" s="27" t="str">
        <f t="shared" si="178"/>
        <v/>
      </c>
    </row>
    <row r="1205" spans="9:17" x14ac:dyDescent="0.25">
      <c r="I1205" s="27" t="str">
        <f t="shared" si="180"/>
        <v/>
      </c>
      <c r="M1205" s="27" t="str">
        <f t="shared" si="176"/>
        <v/>
      </c>
      <c r="O1205" s="27" t="str">
        <f t="shared" si="177"/>
        <v/>
      </c>
      <c r="P1205" s="27" t="str">
        <f t="shared" si="181"/>
        <v/>
      </c>
      <c r="Q1205" s="27" t="str">
        <f t="shared" si="178"/>
        <v/>
      </c>
    </row>
    <row r="1206" spans="9:17" x14ac:dyDescent="0.25">
      <c r="I1206" s="27" t="str">
        <f t="shared" si="180"/>
        <v/>
      </c>
      <c r="M1206" s="27" t="str">
        <f t="shared" si="176"/>
        <v/>
      </c>
      <c r="O1206" s="27" t="str">
        <f t="shared" si="177"/>
        <v/>
      </c>
      <c r="P1206" s="27" t="str">
        <f t="shared" si="181"/>
        <v/>
      </c>
      <c r="Q1206" s="27" t="str">
        <f t="shared" si="178"/>
        <v/>
      </c>
    </row>
    <row r="1207" spans="9:17" x14ac:dyDescent="0.25">
      <c r="I1207" s="27" t="str">
        <f t="shared" si="180"/>
        <v/>
      </c>
      <c r="M1207" s="27" t="str">
        <f t="shared" si="176"/>
        <v/>
      </c>
      <c r="O1207" s="27" t="str">
        <f t="shared" si="177"/>
        <v/>
      </c>
      <c r="P1207" s="27" t="str">
        <f t="shared" si="181"/>
        <v/>
      </c>
      <c r="Q1207" s="27" t="str">
        <f t="shared" si="178"/>
        <v/>
      </c>
    </row>
    <row r="1208" spans="9:17" x14ac:dyDescent="0.25">
      <c r="I1208" s="27" t="str">
        <f t="shared" si="180"/>
        <v/>
      </c>
      <c r="M1208" s="27" t="str">
        <f t="shared" si="176"/>
        <v/>
      </c>
      <c r="O1208" s="27" t="str">
        <f t="shared" si="177"/>
        <v/>
      </c>
      <c r="P1208" s="27" t="str">
        <f t="shared" si="181"/>
        <v/>
      </c>
      <c r="Q1208" s="27" t="str">
        <f t="shared" si="178"/>
        <v/>
      </c>
    </row>
    <row r="1209" spans="9:17" x14ac:dyDescent="0.25">
      <c r="I1209" s="27" t="str">
        <f t="shared" si="180"/>
        <v/>
      </c>
      <c r="M1209" s="27" t="str">
        <f t="shared" si="176"/>
        <v/>
      </c>
      <c r="O1209" s="27" t="str">
        <f t="shared" si="177"/>
        <v/>
      </c>
      <c r="P1209" s="27" t="str">
        <f t="shared" si="181"/>
        <v/>
      </c>
      <c r="Q1209" s="27" t="str">
        <f t="shared" si="178"/>
        <v/>
      </c>
    </row>
    <row r="1210" spans="9:17" x14ac:dyDescent="0.25">
      <c r="I1210" s="27" t="str">
        <f t="shared" si="180"/>
        <v/>
      </c>
      <c r="M1210" s="27" t="str">
        <f t="shared" ref="M1210:M1273" si="182">IF(L1210="","",VLOOKUP(L1210,$Y$4:$Z$15,2,TRUE))</f>
        <v/>
      </c>
      <c r="O1210" s="27" t="str">
        <f t="shared" ref="O1210:O1273" si="183">IF(N1210="","",VLOOKUP(N1210,$Y$4:$Z$15,2,TRUE))</f>
        <v/>
      </c>
      <c r="P1210" s="27" t="str">
        <f t="shared" si="181"/>
        <v/>
      </c>
      <c r="Q1210" s="27" t="str">
        <f t="shared" si="178"/>
        <v/>
      </c>
    </row>
    <row r="1211" spans="9:17" x14ac:dyDescent="0.25">
      <c r="I1211" s="27" t="str">
        <f t="shared" si="180"/>
        <v/>
      </c>
      <c r="M1211" s="27" t="str">
        <f t="shared" si="182"/>
        <v/>
      </c>
      <c r="O1211" s="27" t="str">
        <f t="shared" si="183"/>
        <v/>
      </c>
      <c r="P1211" s="27" t="str">
        <f t="shared" si="181"/>
        <v/>
      </c>
      <c r="Q1211" s="27" t="str">
        <f t="shared" si="178"/>
        <v/>
      </c>
    </row>
    <row r="1212" spans="9:17" x14ac:dyDescent="0.25">
      <c r="I1212" s="27" t="str">
        <f t="shared" si="180"/>
        <v/>
      </c>
      <c r="M1212" s="27" t="str">
        <f t="shared" si="182"/>
        <v/>
      </c>
      <c r="O1212" s="27" t="str">
        <f t="shared" si="183"/>
        <v/>
      </c>
      <c r="P1212" s="27" t="str">
        <f t="shared" si="181"/>
        <v/>
      </c>
      <c r="Q1212" s="27" t="str">
        <f t="shared" si="178"/>
        <v/>
      </c>
    </row>
    <row r="1213" spans="9:17" x14ac:dyDescent="0.25">
      <c r="I1213" s="27" t="str">
        <f t="shared" si="180"/>
        <v/>
      </c>
      <c r="M1213" s="27" t="str">
        <f t="shared" si="182"/>
        <v/>
      </c>
      <c r="O1213" s="27" t="str">
        <f t="shared" si="183"/>
        <v/>
      </c>
      <c r="P1213" s="27" t="str">
        <f t="shared" si="181"/>
        <v/>
      </c>
      <c r="Q1213" s="27" t="str">
        <f t="shared" si="178"/>
        <v/>
      </c>
    </row>
    <row r="1214" spans="9:17" x14ac:dyDescent="0.25">
      <c r="I1214" s="27" t="str">
        <f t="shared" si="180"/>
        <v/>
      </c>
      <c r="M1214" s="27" t="str">
        <f t="shared" si="182"/>
        <v/>
      </c>
      <c r="O1214" s="27" t="str">
        <f t="shared" si="183"/>
        <v/>
      </c>
      <c r="P1214" s="27" t="str">
        <f t="shared" si="181"/>
        <v/>
      </c>
      <c r="Q1214" s="27" t="str">
        <f t="shared" si="178"/>
        <v/>
      </c>
    </row>
    <row r="1215" spans="9:17" x14ac:dyDescent="0.25">
      <c r="I1215" s="27" t="str">
        <f t="shared" si="180"/>
        <v/>
      </c>
      <c r="M1215" s="27" t="str">
        <f t="shared" si="182"/>
        <v/>
      </c>
      <c r="O1215" s="27" t="str">
        <f t="shared" si="183"/>
        <v/>
      </c>
      <c r="P1215" s="27" t="str">
        <f t="shared" si="181"/>
        <v/>
      </c>
      <c r="Q1215" s="27" t="str">
        <f t="shared" si="178"/>
        <v/>
      </c>
    </row>
    <row r="1216" spans="9:17" x14ac:dyDescent="0.25">
      <c r="I1216" s="27" t="str">
        <f t="shared" si="180"/>
        <v/>
      </c>
      <c r="M1216" s="27" t="str">
        <f t="shared" si="182"/>
        <v/>
      </c>
      <c r="O1216" s="27" t="str">
        <f t="shared" si="183"/>
        <v/>
      </c>
      <c r="P1216" s="27" t="str">
        <f t="shared" si="181"/>
        <v/>
      </c>
      <c r="Q1216" s="27" t="str">
        <f t="shared" si="178"/>
        <v/>
      </c>
    </row>
    <row r="1217" spans="9:17" x14ac:dyDescent="0.25">
      <c r="I1217" s="27" t="str">
        <f t="shared" si="180"/>
        <v/>
      </c>
      <c r="M1217" s="27" t="str">
        <f t="shared" si="182"/>
        <v/>
      </c>
      <c r="O1217" s="27" t="str">
        <f t="shared" si="183"/>
        <v/>
      </c>
      <c r="P1217" s="27" t="str">
        <f t="shared" si="181"/>
        <v/>
      </c>
      <c r="Q1217" s="27" t="str">
        <f t="shared" si="178"/>
        <v/>
      </c>
    </row>
    <row r="1218" spans="9:17" x14ac:dyDescent="0.25">
      <c r="I1218" s="27" t="str">
        <f t="shared" si="180"/>
        <v/>
      </c>
      <c r="M1218" s="27" t="str">
        <f t="shared" si="182"/>
        <v/>
      </c>
      <c r="O1218" s="27" t="str">
        <f t="shared" si="183"/>
        <v/>
      </c>
      <c r="P1218" s="27" t="str">
        <f t="shared" si="181"/>
        <v/>
      </c>
      <c r="Q1218" s="27" t="str">
        <f t="shared" si="178"/>
        <v/>
      </c>
    </row>
    <row r="1219" spans="9:17" x14ac:dyDescent="0.25">
      <c r="I1219" s="27" t="str">
        <f t="shared" si="180"/>
        <v/>
      </c>
      <c r="M1219" s="27" t="str">
        <f t="shared" si="182"/>
        <v/>
      </c>
      <c r="O1219" s="27" t="str">
        <f t="shared" si="183"/>
        <v/>
      </c>
      <c r="P1219" s="27" t="str">
        <f t="shared" si="181"/>
        <v/>
      </c>
      <c r="Q1219" s="27" t="str">
        <f t="shared" ref="Q1219:Q1282" si="184">IF(P1219="","",P1219/500*12)</f>
        <v/>
      </c>
    </row>
    <row r="1220" spans="9:17" x14ac:dyDescent="0.25">
      <c r="I1220" s="27" t="str">
        <f t="shared" si="180"/>
        <v/>
      </c>
      <c r="M1220" s="27" t="str">
        <f t="shared" si="182"/>
        <v/>
      </c>
      <c r="O1220" s="27" t="str">
        <f t="shared" si="183"/>
        <v/>
      </c>
      <c r="P1220" s="27" t="str">
        <f t="shared" si="181"/>
        <v/>
      </c>
      <c r="Q1220" s="27" t="str">
        <f t="shared" si="184"/>
        <v/>
      </c>
    </row>
    <row r="1221" spans="9:17" x14ac:dyDescent="0.25">
      <c r="I1221" s="27" t="str">
        <f t="shared" si="180"/>
        <v/>
      </c>
      <c r="M1221" s="27" t="str">
        <f t="shared" si="182"/>
        <v/>
      </c>
      <c r="O1221" s="27" t="str">
        <f t="shared" si="183"/>
        <v/>
      </c>
      <c r="P1221" s="27" t="str">
        <f t="shared" si="181"/>
        <v/>
      </c>
      <c r="Q1221" s="27" t="str">
        <f t="shared" si="184"/>
        <v/>
      </c>
    </row>
    <row r="1222" spans="9:17" x14ac:dyDescent="0.25">
      <c r="I1222" s="27" t="str">
        <f t="shared" si="180"/>
        <v/>
      </c>
      <c r="M1222" s="27" t="str">
        <f t="shared" si="182"/>
        <v/>
      </c>
      <c r="O1222" s="27" t="str">
        <f t="shared" si="183"/>
        <v/>
      </c>
      <c r="P1222" s="27" t="str">
        <f t="shared" si="181"/>
        <v/>
      </c>
      <c r="Q1222" s="27" t="str">
        <f t="shared" si="184"/>
        <v/>
      </c>
    </row>
    <row r="1223" spans="9:17" x14ac:dyDescent="0.25">
      <c r="I1223" s="27" t="str">
        <f t="shared" si="180"/>
        <v/>
      </c>
      <c r="M1223" s="27" t="str">
        <f t="shared" si="182"/>
        <v/>
      </c>
      <c r="O1223" s="27" t="str">
        <f t="shared" si="183"/>
        <v/>
      </c>
      <c r="P1223" s="27" t="str">
        <f t="shared" si="181"/>
        <v/>
      </c>
      <c r="Q1223" s="27" t="str">
        <f t="shared" si="184"/>
        <v/>
      </c>
    </row>
    <row r="1224" spans="9:17" x14ac:dyDescent="0.25">
      <c r="I1224" s="27" t="str">
        <f t="shared" si="180"/>
        <v/>
      </c>
      <c r="M1224" s="27" t="str">
        <f t="shared" si="182"/>
        <v/>
      </c>
      <c r="O1224" s="27" t="str">
        <f t="shared" si="183"/>
        <v/>
      </c>
      <c r="P1224" s="27" t="str">
        <f t="shared" si="181"/>
        <v/>
      </c>
      <c r="Q1224" s="27" t="str">
        <f t="shared" si="184"/>
        <v/>
      </c>
    </row>
    <row r="1225" spans="9:17" x14ac:dyDescent="0.25">
      <c r="I1225" s="27" t="str">
        <f t="shared" si="180"/>
        <v/>
      </c>
      <c r="M1225" s="27" t="str">
        <f t="shared" si="182"/>
        <v/>
      </c>
      <c r="O1225" s="27" t="str">
        <f t="shared" si="183"/>
        <v/>
      </c>
      <c r="P1225" s="27" t="str">
        <f t="shared" si="181"/>
        <v/>
      </c>
      <c r="Q1225" s="27" t="str">
        <f t="shared" si="184"/>
        <v/>
      </c>
    </row>
    <row r="1226" spans="9:17" x14ac:dyDescent="0.25">
      <c r="I1226" s="27" t="str">
        <f t="shared" si="180"/>
        <v/>
      </c>
      <c r="M1226" s="27" t="str">
        <f t="shared" si="182"/>
        <v/>
      </c>
      <c r="O1226" s="27" t="str">
        <f t="shared" si="183"/>
        <v/>
      </c>
      <c r="P1226" s="27" t="str">
        <f t="shared" si="181"/>
        <v/>
      </c>
      <c r="Q1226" s="27" t="str">
        <f t="shared" si="184"/>
        <v/>
      </c>
    </row>
    <row r="1227" spans="9:17" x14ac:dyDescent="0.25">
      <c r="I1227" s="27" t="str">
        <f t="shared" si="180"/>
        <v/>
      </c>
      <c r="M1227" s="27" t="str">
        <f t="shared" si="182"/>
        <v/>
      </c>
      <c r="O1227" s="27" t="str">
        <f t="shared" si="183"/>
        <v/>
      </c>
      <c r="P1227" s="27" t="str">
        <f t="shared" si="181"/>
        <v/>
      </c>
      <c r="Q1227" s="27" t="str">
        <f t="shared" si="184"/>
        <v/>
      </c>
    </row>
    <row r="1228" spans="9:17" x14ac:dyDescent="0.25">
      <c r="I1228" s="27" t="str">
        <f t="shared" si="180"/>
        <v/>
      </c>
      <c r="M1228" s="27" t="str">
        <f t="shared" si="182"/>
        <v/>
      </c>
      <c r="O1228" s="27" t="str">
        <f t="shared" si="183"/>
        <v/>
      </c>
      <c r="P1228" s="27" t="str">
        <f t="shared" si="181"/>
        <v/>
      </c>
      <c r="Q1228" s="27" t="str">
        <f t="shared" si="184"/>
        <v/>
      </c>
    </row>
    <row r="1229" spans="9:17" x14ac:dyDescent="0.25">
      <c r="I1229" s="27" t="str">
        <f t="shared" si="180"/>
        <v/>
      </c>
      <c r="M1229" s="27" t="str">
        <f t="shared" si="182"/>
        <v/>
      </c>
      <c r="O1229" s="27" t="str">
        <f t="shared" si="183"/>
        <v/>
      </c>
      <c r="P1229" s="27" t="str">
        <f t="shared" si="181"/>
        <v/>
      </c>
      <c r="Q1229" s="27" t="str">
        <f t="shared" si="184"/>
        <v/>
      </c>
    </row>
    <row r="1230" spans="9:17" x14ac:dyDescent="0.25">
      <c r="I1230" s="27" t="str">
        <f t="shared" si="180"/>
        <v/>
      </c>
      <c r="M1230" s="27" t="str">
        <f t="shared" si="182"/>
        <v/>
      </c>
      <c r="O1230" s="27" t="str">
        <f t="shared" si="183"/>
        <v/>
      </c>
      <c r="P1230" s="27" t="str">
        <f t="shared" si="181"/>
        <v/>
      </c>
      <c r="Q1230" s="27" t="str">
        <f t="shared" si="184"/>
        <v/>
      </c>
    </row>
    <row r="1231" spans="9:17" x14ac:dyDescent="0.25">
      <c r="I1231" s="27" t="str">
        <f t="shared" si="180"/>
        <v/>
      </c>
      <c r="M1231" s="27" t="str">
        <f t="shared" si="182"/>
        <v/>
      </c>
      <c r="O1231" s="27" t="str">
        <f t="shared" si="183"/>
        <v/>
      </c>
      <c r="P1231" s="27" t="str">
        <f t="shared" si="181"/>
        <v/>
      </c>
      <c r="Q1231" s="27" t="str">
        <f t="shared" si="184"/>
        <v/>
      </c>
    </row>
    <row r="1232" spans="9:17" x14ac:dyDescent="0.25">
      <c r="I1232" s="27" t="str">
        <f t="shared" si="180"/>
        <v/>
      </c>
      <c r="M1232" s="27" t="str">
        <f t="shared" si="182"/>
        <v/>
      </c>
      <c r="O1232" s="27" t="str">
        <f t="shared" si="183"/>
        <v/>
      </c>
      <c r="P1232" s="27" t="str">
        <f t="shared" si="181"/>
        <v/>
      </c>
      <c r="Q1232" s="27" t="str">
        <f t="shared" si="184"/>
        <v/>
      </c>
    </row>
    <row r="1233" spans="9:17" x14ac:dyDescent="0.25">
      <c r="I1233" s="27" t="str">
        <f t="shared" si="180"/>
        <v/>
      </c>
      <c r="M1233" s="27" t="str">
        <f t="shared" si="182"/>
        <v/>
      </c>
      <c r="O1233" s="27" t="str">
        <f t="shared" si="183"/>
        <v/>
      </c>
      <c r="P1233" s="27" t="str">
        <f t="shared" si="181"/>
        <v/>
      </c>
      <c r="Q1233" s="27" t="str">
        <f t="shared" si="184"/>
        <v/>
      </c>
    </row>
    <row r="1234" spans="9:17" x14ac:dyDescent="0.25">
      <c r="I1234" s="27" t="str">
        <f t="shared" si="180"/>
        <v/>
      </c>
      <c r="M1234" s="27" t="str">
        <f t="shared" si="182"/>
        <v/>
      </c>
      <c r="O1234" s="27" t="str">
        <f t="shared" si="183"/>
        <v/>
      </c>
      <c r="P1234" s="27" t="str">
        <f t="shared" si="181"/>
        <v/>
      </c>
      <c r="Q1234" s="27" t="str">
        <f t="shared" si="184"/>
        <v/>
      </c>
    </row>
    <row r="1235" spans="9:17" x14ac:dyDescent="0.25">
      <c r="I1235" s="27" t="str">
        <f t="shared" si="180"/>
        <v/>
      </c>
      <c r="M1235" s="27" t="str">
        <f t="shared" si="182"/>
        <v/>
      </c>
      <c r="O1235" s="27" t="str">
        <f t="shared" si="183"/>
        <v/>
      </c>
      <c r="P1235" s="27" t="str">
        <f t="shared" si="181"/>
        <v/>
      </c>
      <c r="Q1235" s="27" t="str">
        <f t="shared" si="184"/>
        <v/>
      </c>
    </row>
    <row r="1236" spans="9:17" x14ac:dyDescent="0.25">
      <c r="I1236" s="27" t="str">
        <f t="shared" si="180"/>
        <v/>
      </c>
      <c r="M1236" s="27" t="str">
        <f t="shared" si="182"/>
        <v/>
      </c>
      <c r="O1236" s="27" t="str">
        <f t="shared" si="183"/>
        <v/>
      </c>
      <c r="P1236" s="27" t="str">
        <f t="shared" si="181"/>
        <v/>
      </c>
      <c r="Q1236" s="27" t="str">
        <f t="shared" si="184"/>
        <v/>
      </c>
    </row>
    <row r="1237" spans="9:17" x14ac:dyDescent="0.25">
      <c r="I1237" s="27" t="str">
        <f t="shared" si="180"/>
        <v/>
      </c>
      <c r="M1237" s="27" t="str">
        <f t="shared" si="182"/>
        <v/>
      </c>
      <c r="O1237" s="27" t="str">
        <f t="shared" si="183"/>
        <v/>
      </c>
      <c r="P1237" s="27" t="str">
        <f t="shared" si="181"/>
        <v/>
      </c>
      <c r="Q1237" s="27" t="str">
        <f t="shared" si="184"/>
        <v/>
      </c>
    </row>
    <row r="1238" spans="9:17" x14ac:dyDescent="0.25">
      <c r="I1238" s="27" t="str">
        <f t="shared" si="180"/>
        <v/>
      </c>
      <c r="M1238" s="27" t="str">
        <f t="shared" si="182"/>
        <v/>
      </c>
      <c r="O1238" s="27" t="str">
        <f t="shared" si="183"/>
        <v/>
      </c>
      <c r="P1238" s="27" t="str">
        <f t="shared" si="181"/>
        <v/>
      </c>
      <c r="Q1238" s="27" t="str">
        <f t="shared" si="184"/>
        <v/>
      </c>
    </row>
    <row r="1239" spans="9:17" x14ac:dyDescent="0.25">
      <c r="M1239" s="27" t="str">
        <f t="shared" si="182"/>
        <v/>
      </c>
      <c r="O1239" s="27" t="str">
        <f t="shared" si="183"/>
        <v/>
      </c>
      <c r="P1239" s="27" t="str">
        <f t="shared" si="181"/>
        <v/>
      </c>
      <c r="Q1239" s="27" t="str">
        <f t="shared" si="184"/>
        <v/>
      </c>
    </row>
    <row r="1240" spans="9:17" x14ac:dyDescent="0.25">
      <c r="I1240" s="27" t="str">
        <f>IF(H1240="","",VLOOKUP(H1240,$Y$4:$Z$15,2,TRUE))</f>
        <v/>
      </c>
      <c r="M1240" s="27" t="str">
        <f t="shared" si="182"/>
        <v/>
      </c>
      <c r="O1240" s="27" t="str">
        <f t="shared" si="183"/>
        <v/>
      </c>
      <c r="P1240" s="27" t="str">
        <f t="shared" si="181"/>
        <v/>
      </c>
      <c r="Q1240" s="27" t="str">
        <f t="shared" si="184"/>
        <v/>
      </c>
    </row>
    <row r="1241" spans="9:17" x14ac:dyDescent="0.25">
      <c r="I1241" s="27" t="str">
        <f>IF(H1241="","",VLOOKUP(H1241,$Y$4:$Z$15,2,TRUE))</f>
        <v/>
      </c>
      <c r="M1241" s="27" t="str">
        <f t="shared" si="182"/>
        <v/>
      </c>
      <c r="O1241" s="27" t="str">
        <f t="shared" si="183"/>
        <v/>
      </c>
      <c r="P1241" s="27" t="str">
        <f t="shared" ref="P1241:P1243" si="185">IF(COUNT(F1241:O1241)=0,"",SUM(F1241:O1241))</f>
        <v/>
      </c>
      <c r="Q1241" s="27" t="str">
        <f t="shared" si="184"/>
        <v/>
      </c>
    </row>
    <row r="1242" spans="9:17" x14ac:dyDescent="0.25">
      <c r="I1242" s="27" t="str">
        <f>IF(H1242="","",VLOOKUP(H1242,$Y$4:$Z$15,2,TRUE))</f>
        <v/>
      </c>
      <c r="M1242" s="27" t="str">
        <f t="shared" si="182"/>
        <v/>
      </c>
      <c r="O1242" s="27" t="str">
        <f t="shared" si="183"/>
        <v/>
      </c>
      <c r="P1242" s="27" t="str">
        <f t="shared" si="185"/>
        <v/>
      </c>
      <c r="Q1242" s="27" t="str">
        <f t="shared" si="184"/>
        <v/>
      </c>
    </row>
    <row r="1243" spans="9:17" x14ac:dyDescent="0.25">
      <c r="I1243" s="27" t="str">
        <f>IF(H1243="","",VLOOKUP(H1243,$Y$4:$Z$15,2,TRUE))</f>
        <v/>
      </c>
      <c r="M1243" s="27" t="str">
        <f t="shared" si="182"/>
        <v/>
      </c>
      <c r="O1243" s="27" t="str">
        <f t="shared" si="183"/>
        <v/>
      </c>
      <c r="P1243" s="27" t="str">
        <f t="shared" si="185"/>
        <v/>
      </c>
      <c r="Q1243" s="27" t="str">
        <f t="shared" si="184"/>
        <v/>
      </c>
    </row>
    <row r="1244" spans="9:17" x14ac:dyDescent="0.25">
      <c r="I1244" s="27" t="str">
        <f>IF(H1244="","",VLOOKUP(H1244,$Y$4:$Z$15,2,TRUE))</f>
        <v/>
      </c>
      <c r="M1244" s="27" t="str">
        <f t="shared" si="182"/>
        <v/>
      </c>
      <c r="O1244" s="27" t="str">
        <f t="shared" si="183"/>
        <v/>
      </c>
      <c r="Q1244" s="27" t="str">
        <f t="shared" si="184"/>
        <v/>
      </c>
    </row>
    <row r="1245" spans="9:17" x14ac:dyDescent="0.25">
      <c r="M1245" s="27" t="str">
        <f t="shared" si="182"/>
        <v/>
      </c>
      <c r="O1245" s="27" t="str">
        <f t="shared" si="183"/>
        <v/>
      </c>
      <c r="Q1245" s="27" t="str">
        <f t="shared" si="184"/>
        <v/>
      </c>
    </row>
    <row r="1246" spans="9:17" x14ac:dyDescent="0.25">
      <c r="M1246" s="27" t="str">
        <f t="shared" si="182"/>
        <v/>
      </c>
      <c r="O1246" s="27" t="str">
        <f t="shared" si="183"/>
        <v/>
      </c>
      <c r="Q1246" s="27" t="str">
        <f t="shared" si="184"/>
        <v/>
      </c>
    </row>
    <row r="1247" spans="9:17" x14ac:dyDescent="0.25">
      <c r="M1247" s="27" t="str">
        <f t="shared" si="182"/>
        <v/>
      </c>
      <c r="O1247" s="27" t="str">
        <f t="shared" si="183"/>
        <v/>
      </c>
      <c r="Q1247" s="27" t="str">
        <f t="shared" si="184"/>
        <v/>
      </c>
    </row>
    <row r="1248" spans="9:17" x14ac:dyDescent="0.25">
      <c r="M1248" s="27" t="str">
        <f t="shared" si="182"/>
        <v/>
      </c>
      <c r="O1248" s="27" t="str">
        <f t="shared" si="183"/>
        <v/>
      </c>
      <c r="Q1248" s="27" t="str">
        <f t="shared" si="184"/>
        <v/>
      </c>
    </row>
    <row r="1249" spans="13:17" x14ac:dyDescent="0.25">
      <c r="M1249" s="27" t="str">
        <f t="shared" si="182"/>
        <v/>
      </c>
      <c r="O1249" s="27" t="str">
        <f t="shared" si="183"/>
        <v/>
      </c>
      <c r="Q1249" s="27" t="str">
        <f t="shared" si="184"/>
        <v/>
      </c>
    </row>
    <row r="1250" spans="13:17" x14ac:dyDescent="0.25">
      <c r="M1250" s="27" t="str">
        <f t="shared" si="182"/>
        <v/>
      </c>
      <c r="O1250" s="27" t="str">
        <f t="shared" si="183"/>
        <v/>
      </c>
      <c r="Q1250" s="27" t="str">
        <f t="shared" si="184"/>
        <v/>
      </c>
    </row>
    <row r="1251" spans="13:17" x14ac:dyDescent="0.25">
      <c r="M1251" s="27" t="str">
        <f t="shared" si="182"/>
        <v/>
      </c>
      <c r="O1251" s="27" t="str">
        <f t="shared" si="183"/>
        <v/>
      </c>
      <c r="Q1251" s="27" t="str">
        <f t="shared" si="184"/>
        <v/>
      </c>
    </row>
    <row r="1252" spans="13:17" x14ac:dyDescent="0.25">
      <c r="M1252" s="27" t="str">
        <f t="shared" si="182"/>
        <v/>
      </c>
      <c r="O1252" s="27" t="str">
        <f t="shared" si="183"/>
        <v/>
      </c>
      <c r="Q1252" s="27" t="str">
        <f t="shared" si="184"/>
        <v/>
      </c>
    </row>
    <row r="1253" spans="13:17" x14ac:dyDescent="0.25">
      <c r="M1253" s="27" t="str">
        <f t="shared" si="182"/>
        <v/>
      </c>
      <c r="O1253" s="27" t="str">
        <f t="shared" si="183"/>
        <v/>
      </c>
      <c r="Q1253" s="27" t="str">
        <f t="shared" si="184"/>
        <v/>
      </c>
    </row>
    <row r="1254" spans="13:17" x14ac:dyDescent="0.25">
      <c r="M1254" s="27" t="str">
        <f t="shared" si="182"/>
        <v/>
      </c>
      <c r="O1254" s="27" t="str">
        <f t="shared" si="183"/>
        <v/>
      </c>
      <c r="Q1254" s="27" t="str">
        <f t="shared" si="184"/>
        <v/>
      </c>
    </row>
    <row r="1255" spans="13:17" x14ac:dyDescent="0.25">
      <c r="M1255" s="27" t="str">
        <f t="shared" si="182"/>
        <v/>
      </c>
      <c r="O1255" s="27" t="str">
        <f t="shared" si="183"/>
        <v/>
      </c>
      <c r="Q1255" s="27" t="str">
        <f t="shared" si="184"/>
        <v/>
      </c>
    </row>
    <row r="1256" spans="13:17" x14ac:dyDescent="0.25">
      <c r="M1256" s="27" t="str">
        <f t="shared" si="182"/>
        <v/>
      </c>
      <c r="O1256" s="27" t="str">
        <f t="shared" si="183"/>
        <v/>
      </c>
      <c r="Q1256" s="27" t="str">
        <f t="shared" si="184"/>
        <v/>
      </c>
    </row>
    <row r="1257" spans="13:17" x14ac:dyDescent="0.25">
      <c r="M1257" s="27" t="str">
        <f t="shared" si="182"/>
        <v/>
      </c>
      <c r="O1257" s="27" t="str">
        <f t="shared" si="183"/>
        <v/>
      </c>
      <c r="Q1257" s="27" t="str">
        <f t="shared" si="184"/>
        <v/>
      </c>
    </row>
    <row r="1258" spans="13:17" x14ac:dyDescent="0.25">
      <c r="M1258" s="27" t="str">
        <f t="shared" si="182"/>
        <v/>
      </c>
      <c r="O1258" s="27" t="str">
        <f t="shared" si="183"/>
        <v/>
      </c>
      <c r="Q1258" s="27" t="str">
        <f t="shared" si="184"/>
        <v/>
      </c>
    </row>
    <row r="1259" spans="13:17" x14ac:dyDescent="0.25">
      <c r="M1259" s="27" t="str">
        <f t="shared" si="182"/>
        <v/>
      </c>
      <c r="O1259" s="27" t="str">
        <f t="shared" si="183"/>
        <v/>
      </c>
      <c r="Q1259" s="27" t="str">
        <f t="shared" si="184"/>
        <v/>
      </c>
    </row>
    <row r="1260" spans="13:17" x14ac:dyDescent="0.25">
      <c r="M1260" s="27" t="str">
        <f t="shared" si="182"/>
        <v/>
      </c>
      <c r="O1260" s="27" t="str">
        <f t="shared" si="183"/>
        <v/>
      </c>
      <c r="Q1260" s="27" t="str">
        <f t="shared" si="184"/>
        <v/>
      </c>
    </row>
    <row r="1261" spans="13:17" x14ac:dyDescent="0.25">
      <c r="M1261" s="27" t="str">
        <f t="shared" si="182"/>
        <v/>
      </c>
      <c r="O1261" s="27" t="str">
        <f t="shared" si="183"/>
        <v/>
      </c>
      <c r="Q1261" s="27" t="str">
        <f t="shared" si="184"/>
        <v/>
      </c>
    </row>
    <row r="1262" spans="13:17" x14ac:dyDescent="0.25">
      <c r="M1262" s="27" t="str">
        <f t="shared" si="182"/>
        <v/>
      </c>
      <c r="O1262" s="27" t="str">
        <f t="shared" si="183"/>
        <v/>
      </c>
      <c r="Q1262" s="27" t="str">
        <f t="shared" si="184"/>
        <v/>
      </c>
    </row>
    <row r="1263" spans="13:17" x14ac:dyDescent="0.25">
      <c r="M1263" s="27" t="str">
        <f t="shared" si="182"/>
        <v/>
      </c>
      <c r="O1263" s="27" t="str">
        <f t="shared" si="183"/>
        <v/>
      </c>
      <c r="Q1263" s="27" t="str">
        <f t="shared" si="184"/>
        <v/>
      </c>
    </row>
    <row r="1264" spans="13:17" x14ac:dyDescent="0.25">
      <c r="M1264" s="27" t="str">
        <f t="shared" si="182"/>
        <v/>
      </c>
      <c r="O1264" s="27" t="str">
        <f t="shared" si="183"/>
        <v/>
      </c>
      <c r="Q1264" s="27" t="str">
        <f t="shared" si="184"/>
        <v/>
      </c>
    </row>
    <row r="1265" spans="13:17" x14ac:dyDescent="0.25">
      <c r="M1265" s="27" t="str">
        <f t="shared" si="182"/>
        <v/>
      </c>
      <c r="O1265" s="27" t="str">
        <f t="shared" si="183"/>
        <v/>
      </c>
      <c r="Q1265" s="27" t="str">
        <f t="shared" si="184"/>
        <v/>
      </c>
    </row>
    <row r="1266" spans="13:17" x14ac:dyDescent="0.25">
      <c r="M1266" s="27" t="str">
        <f t="shared" si="182"/>
        <v/>
      </c>
      <c r="O1266" s="27" t="str">
        <f t="shared" si="183"/>
        <v/>
      </c>
      <c r="Q1266" s="27" t="str">
        <f t="shared" si="184"/>
        <v/>
      </c>
    </row>
    <row r="1267" spans="13:17" x14ac:dyDescent="0.25">
      <c r="M1267" s="27" t="str">
        <f t="shared" si="182"/>
        <v/>
      </c>
      <c r="O1267" s="27" t="str">
        <f t="shared" si="183"/>
        <v/>
      </c>
      <c r="Q1267" s="27" t="str">
        <f t="shared" si="184"/>
        <v/>
      </c>
    </row>
    <row r="1268" spans="13:17" x14ac:dyDescent="0.25">
      <c r="M1268" s="27" t="str">
        <f t="shared" si="182"/>
        <v/>
      </c>
      <c r="O1268" s="27" t="str">
        <f t="shared" si="183"/>
        <v/>
      </c>
      <c r="Q1268" s="27" t="str">
        <f t="shared" si="184"/>
        <v/>
      </c>
    </row>
    <row r="1269" spans="13:17" x14ac:dyDescent="0.25">
      <c r="M1269" s="27" t="str">
        <f t="shared" si="182"/>
        <v/>
      </c>
      <c r="O1269" s="27" t="str">
        <f t="shared" si="183"/>
        <v/>
      </c>
      <c r="Q1269" s="27" t="str">
        <f t="shared" si="184"/>
        <v/>
      </c>
    </row>
    <row r="1270" spans="13:17" x14ac:dyDescent="0.25">
      <c r="M1270" s="27" t="str">
        <f t="shared" si="182"/>
        <v/>
      </c>
      <c r="O1270" s="27" t="str">
        <f t="shared" si="183"/>
        <v/>
      </c>
      <c r="Q1270" s="27" t="str">
        <f t="shared" si="184"/>
        <v/>
      </c>
    </row>
    <row r="1271" spans="13:17" x14ac:dyDescent="0.25">
      <c r="M1271" s="27" t="str">
        <f t="shared" si="182"/>
        <v/>
      </c>
      <c r="O1271" s="27" t="str">
        <f t="shared" si="183"/>
        <v/>
      </c>
      <c r="Q1271" s="27" t="str">
        <f t="shared" si="184"/>
        <v/>
      </c>
    </row>
    <row r="1272" spans="13:17" x14ac:dyDescent="0.25">
      <c r="M1272" s="27" t="str">
        <f t="shared" si="182"/>
        <v/>
      </c>
      <c r="O1272" s="27" t="str">
        <f t="shared" si="183"/>
        <v/>
      </c>
      <c r="Q1272" s="27" t="str">
        <f t="shared" si="184"/>
        <v/>
      </c>
    </row>
    <row r="1273" spans="13:17" x14ac:dyDescent="0.25">
      <c r="M1273" s="27" t="str">
        <f t="shared" si="182"/>
        <v/>
      </c>
      <c r="O1273" s="27" t="str">
        <f t="shared" si="183"/>
        <v/>
      </c>
      <c r="Q1273" s="27" t="str">
        <f t="shared" si="184"/>
        <v/>
      </c>
    </row>
    <row r="1274" spans="13:17" x14ac:dyDescent="0.25">
      <c r="M1274" s="27" t="str">
        <f t="shared" ref="M1274:M1337" si="186">IF(L1274="","",VLOOKUP(L1274,$Y$4:$Z$15,2,TRUE))</f>
        <v/>
      </c>
      <c r="O1274" s="27" t="str">
        <f t="shared" ref="O1274:O1337" si="187">IF(N1274="","",VLOOKUP(N1274,$Y$4:$Z$15,2,TRUE))</f>
        <v/>
      </c>
      <c r="Q1274" s="27" t="str">
        <f t="shared" si="184"/>
        <v/>
      </c>
    </row>
    <row r="1275" spans="13:17" x14ac:dyDescent="0.25">
      <c r="M1275" s="27" t="str">
        <f t="shared" si="186"/>
        <v/>
      </c>
      <c r="O1275" s="27" t="str">
        <f t="shared" si="187"/>
        <v/>
      </c>
      <c r="Q1275" s="27" t="str">
        <f t="shared" si="184"/>
        <v/>
      </c>
    </row>
    <row r="1276" spans="13:17" x14ac:dyDescent="0.25">
      <c r="M1276" s="27" t="str">
        <f t="shared" si="186"/>
        <v/>
      </c>
      <c r="O1276" s="27" t="str">
        <f t="shared" si="187"/>
        <v/>
      </c>
      <c r="Q1276" s="27" t="str">
        <f t="shared" si="184"/>
        <v/>
      </c>
    </row>
    <row r="1277" spans="13:17" x14ac:dyDescent="0.25">
      <c r="M1277" s="27" t="str">
        <f t="shared" si="186"/>
        <v/>
      </c>
      <c r="O1277" s="27" t="str">
        <f t="shared" si="187"/>
        <v/>
      </c>
      <c r="Q1277" s="27" t="str">
        <f t="shared" si="184"/>
        <v/>
      </c>
    </row>
    <row r="1278" spans="13:17" x14ac:dyDescent="0.25">
      <c r="M1278" s="27" t="str">
        <f t="shared" si="186"/>
        <v/>
      </c>
      <c r="O1278" s="27" t="str">
        <f t="shared" si="187"/>
        <v/>
      </c>
      <c r="Q1278" s="27" t="str">
        <f t="shared" si="184"/>
        <v/>
      </c>
    </row>
    <row r="1279" spans="13:17" x14ac:dyDescent="0.25">
      <c r="M1279" s="27" t="str">
        <f t="shared" si="186"/>
        <v/>
      </c>
      <c r="O1279" s="27" t="str">
        <f t="shared" si="187"/>
        <v/>
      </c>
      <c r="Q1279" s="27" t="str">
        <f t="shared" si="184"/>
        <v/>
      </c>
    </row>
    <row r="1280" spans="13:17" x14ac:dyDescent="0.25">
      <c r="M1280" s="27" t="str">
        <f t="shared" si="186"/>
        <v/>
      </c>
      <c r="O1280" s="27" t="str">
        <f t="shared" si="187"/>
        <v/>
      </c>
      <c r="Q1280" s="27" t="str">
        <f t="shared" si="184"/>
        <v/>
      </c>
    </row>
    <row r="1281" spans="13:17" x14ac:dyDescent="0.25">
      <c r="M1281" s="27" t="str">
        <f t="shared" si="186"/>
        <v/>
      </c>
      <c r="O1281" s="27" t="str">
        <f t="shared" si="187"/>
        <v/>
      </c>
      <c r="Q1281" s="27" t="str">
        <f t="shared" si="184"/>
        <v/>
      </c>
    </row>
    <row r="1282" spans="13:17" x14ac:dyDescent="0.25">
      <c r="M1282" s="27" t="str">
        <f t="shared" si="186"/>
        <v/>
      </c>
      <c r="O1282" s="27" t="str">
        <f t="shared" si="187"/>
        <v/>
      </c>
      <c r="Q1282" s="27" t="str">
        <f t="shared" si="184"/>
        <v/>
      </c>
    </row>
    <row r="1283" spans="13:17" x14ac:dyDescent="0.25">
      <c r="M1283" s="27" t="str">
        <f t="shared" si="186"/>
        <v/>
      </c>
      <c r="O1283" s="27" t="str">
        <f t="shared" si="187"/>
        <v/>
      </c>
      <c r="Q1283" s="27" t="str">
        <f t="shared" ref="Q1283:Q1346" si="188">IF(P1283="","",P1283/500*12)</f>
        <v/>
      </c>
    </row>
    <row r="1284" spans="13:17" x14ac:dyDescent="0.25">
      <c r="M1284" s="27" t="str">
        <f t="shared" si="186"/>
        <v/>
      </c>
      <c r="O1284" s="27" t="str">
        <f t="shared" si="187"/>
        <v/>
      </c>
      <c r="Q1284" s="27" t="str">
        <f t="shared" si="188"/>
        <v/>
      </c>
    </row>
    <row r="1285" spans="13:17" x14ac:dyDescent="0.25">
      <c r="M1285" s="27" t="str">
        <f t="shared" si="186"/>
        <v/>
      </c>
      <c r="O1285" s="27" t="str">
        <f t="shared" si="187"/>
        <v/>
      </c>
      <c r="Q1285" s="27" t="str">
        <f t="shared" si="188"/>
        <v/>
      </c>
    </row>
    <row r="1286" spans="13:17" x14ac:dyDescent="0.25">
      <c r="M1286" s="27" t="str">
        <f t="shared" si="186"/>
        <v/>
      </c>
      <c r="O1286" s="27" t="str">
        <f t="shared" si="187"/>
        <v/>
      </c>
      <c r="Q1286" s="27" t="str">
        <f t="shared" si="188"/>
        <v/>
      </c>
    </row>
    <row r="1287" spans="13:17" x14ac:dyDescent="0.25">
      <c r="M1287" s="27" t="str">
        <f t="shared" si="186"/>
        <v/>
      </c>
      <c r="O1287" s="27" t="str">
        <f t="shared" si="187"/>
        <v/>
      </c>
      <c r="Q1287" s="27" t="str">
        <f t="shared" si="188"/>
        <v/>
      </c>
    </row>
    <row r="1288" spans="13:17" x14ac:dyDescent="0.25">
      <c r="M1288" s="27" t="str">
        <f t="shared" si="186"/>
        <v/>
      </c>
      <c r="O1288" s="27" t="str">
        <f t="shared" si="187"/>
        <v/>
      </c>
      <c r="Q1288" s="27" t="str">
        <f t="shared" si="188"/>
        <v/>
      </c>
    </row>
    <row r="1289" spans="13:17" x14ac:dyDescent="0.25">
      <c r="M1289" s="27" t="str">
        <f t="shared" si="186"/>
        <v/>
      </c>
      <c r="O1289" s="27" t="str">
        <f t="shared" si="187"/>
        <v/>
      </c>
      <c r="Q1289" s="27" t="str">
        <f t="shared" si="188"/>
        <v/>
      </c>
    </row>
    <row r="1290" spans="13:17" x14ac:dyDescent="0.25">
      <c r="M1290" s="27" t="str">
        <f t="shared" si="186"/>
        <v/>
      </c>
      <c r="O1290" s="27" t="str">
        <f t="shared" si="187"/>
        <v/>
      </c>
      <c r="Q1290" s="27" t="str">
        <f t="shared" si="188"/>
        <v/>
      </c>
    </row>
    <row r="1291" spans="13:17" x14ac:dyDescent="0.25">
      <c r="M1291" s="27" t="str">
        <f t="shared" si="186"/>
        <v/>
      </c>
      <c r="O1291" s="27" t="str">
        <f t="shared" si="187"/>
        <v/>
      </c>
      <c r="Q1291" s="27" t="str">
        <f t="shared" si="188"/>
        <v/>
      </c>
    </row>
    <row r="1292" spans="13:17" x14ac:dyDescent="0.25">
      <c r="M1292" s="27" t="str">
        <f t="shared" si="186"/>
        <v/>
      </c>
      <c r="O1292" s="27" t="str">
        <f t="shared" si="187"/>
        <v/>
      </c>
      <c r="Q1292" s="27" t="str">
        <f t="shared" si="188"/>
        <v/>
      </c>
    </row>
    <row r="1293" spans="13:17" x14ac:dyDescent="0.25">
      <c r="M1293" s="27" t="str">
        <f t="shared" si="186"/>
        <v/>
      </c>
      <c r="O1293" s="27" t="str">
        <f t="shared" si="187"/>
        <v/>
      </c>
      <c r="Q1293" s="27" t="str">
        <f t="shared" si="188"/>
        <v/>
      </c>
    </row>
    <row r="1294" spans="13:17" x14ac:dyDescent="0.25">
      <c r="M1294" s="27" t="str">
        <f t="shared" si="186"/>
        <v/>
      </c>
      <c r="O1294" s="27" t="str">
        <f t="shared" si="187"/>
        <v/>
      </c>
      <c r="Q1294" s="27" t="str">
        <f t="shared" si="188"/>
        <v/>
      </c>
    </row>
    <row r="1295" spans="13:17" x14ac:dyDescent="0.25">
      <c r="M1295" s="27" t="str">
        <f t="shared" si="186"/>
        <v/>
      </c>
      <c r="O1295" s="27" t="str">
        <f t="shared" si="187"/>
        <v/>
      </c>
      <c r="Q1295" s="27" t="str">
        <f t="shared" si="188"/>
        <v/>
      </c>
    </row>
    <row r="1296" spans="13:17" x14ac:dyDescent="0.25">
      <c r="M1296" s="27" t="str">
        <f t="shared" si="186"/>
        <v/>
      </c>
      <c r="O1296" s="27" t="str">
        <f t="shared" si="187"/>
        <v/>
      </c>
      <c r="Q1296" s="27" t="str">
        <f t="shared" si="188"/>
        <v/>
      </c>
    </row>
    <row r="1297" spans="13:17" x14ac:dyDescent="0.25">
      <c r="M1297" s="27" t="str">
        <f t="shared" si="186"/>
        <v/>
      </c>
      <c r="O1297" s="27" t="str">
        <f t="shared" si="187"/>
        <v/>
      </c>
      <c r="Q1297" s="27" t="str">
        <f t="shared" si="188"/>
        <v/>
      </c>
    </row>
    <row r="1298" spans="13:17" x14ac:dyDescent="0.25">
      <c r="M1298" s="27" t="str">
        <f t="shared" si="186"/>
        <v/>
      </c>
      <c r="O1298" s="27" t="str">
        <f t="shared" si="187"/>
        <v/>
      </c>
      <c r="Q1298" s="27" t="str">
        <f t="shared" si="188"/>
        <v/>
      </c>
    </row>
    <row r="1299" spans="13:17" x14ac:dyDescent="0.25">
      <c r="M1299" s="27" t="str">
        <f t="shared" si="186"/>
        <v/>
      </c>
      <c r="O1299" s="27" t="str">
        <f t="shared" si="187"/>
        <v/>
      </c>
      <c r="Q1299" s="27" t="str">
        <f t="shared" si="188"/>
        <v/>
      </c>
    </row>
    <row r="1300" spans="13:17" x14ac:dyDescent="0.25">
      <c r="M1300" s="27" t="str">
        <f t="shared" si="186"/>
        <v/>
      </c>
      <c r="O1300" s="27" t="str">
        <f t="shared" si="187"/>
        <v/>
      </c>
      <c r="Q1300" s="27" t="str">
        <f t="shared" si="188"/>
        <v/>
      </c>
    </row>
    <row r="1301" spans="13:17" x14ac:dyDescent="0.25">
      <c r="M1301" s="27" t="str">
        <f t="shared" si="186"/>
        <v/>
      </c>
      <c r="O1301" s="27" t="str">
        <f t="shared" si="187"/>
        <v/>
      </c>
      <c r="Q1301" s="27" t="str">
        <f t="shared" si="188"/>
        <v/>
      </c>
    </row>
    <row r="1302" spans="13:17" x14ac:dyDescent="0.25">
      <c r="M1302" s="27" t="str">
        <f t="shared" si="186"/>
        <v/>
      </c>
      <c r="O1302" s="27" t="str">
        <f t="shared" si="187"/>
        <v/>
      </c>
      <c r="Q1302" s="27" t="str">
        <f t="shared" si="188"/>
        <v/>
      </c>
    </row>
    <row r="1303" spans="13:17" x14ac:dyDescent="0.25">
      <c r="M1303" s="27" t="str">
        <f t="shared" si="186"/>
        <v/>
      </c>
      <c r="O1303" s="27" t="str">
        <f t="shared" si="187"/>
        <v/>
      </c>
      <c r="Q1303" s="27" t="str">
        <f t="shared" si="188"/>
        <v/>
      </c>
    </row>
    <row r="1304" spans="13:17" x14ac:dyDescent="0.25">
      <c r="M1304" s="27" t="str">
        <f t="shared" si="186"/>
        <v/>
      </c>
      <c r="O1304" s="27" t="str">
        <f t="shared" si="187"/>
        <v/>
      </c>
      <c r="Q1304" s="27" t="str">
        <f t="shared" si="188"/>
        <v/>
      </c>
    </row>
    <row r="1305" spans="13:17" x14ac:dyDescent="0.25">
      <c r="M1305" s="27" t="str">
        <f t="shared" si="186"/>
        <v/>
      </c>
      <c r="O1305" s="27" t="str">
        <f t="shared" si="187"/>
        <v/>
      </c>
      <c r="Q1305" s="27" t="str">
        <f t="shared" si="188"/>
        <v/>
      </c>
    </row>
    <row r="1306" spans="13:17" x14ac:dyDescent="0.25">
      <c r="M1306" s="27" t="str">
        <f t="shared" si="186"/>
        <v/>
      </c>
      <c r="O1306" s="27" t="str">
        <f t="shared" si="187"/>
        <v/>
      </c>
      <c r="Q1306" s="27" t="str">
        <f t="shared" si="188"/>
        <v/>
      </c>
    </row>
    <row r="1307" spans="13:17" x14ac:dyDescent="0.25">
      <c r="M1307" s="27" t="str">
        <f t="shared" si="186"/>
        <v/>
      </c>
      <c r="O1307" s="27" t="str">
        <f t="shared" si="187"/>
        <v/>
      </c>
      <c r="Q1307" s="27" t="str">
        <f t="shared" si="188"/>
        <v/>
      </c>
    </row>
    <row r="1308" spans="13:17" x14ac:dyDescent="0.25">
      <c r="M1308" s="27" t="str">
        <f t="shared" si="186"/>
        <v/>
      </c>
      <c r="O1308" s="27" t="str">
        <f t="shared" si="187"/>
        <v/>
      </c>
      <c r="Q1308" s="27" t="str">
        <f t="shared" si="188"/>
        <v/>
      </c>
    </row>
    <row r="1309" spans="13:17" x14ac:dyDescent="0.25">
      <c r="M1309" s="27" t="str">
        <f t="shared" si="186"/>
        <v/>
      </c>
      <c r="O1309" s="27" t="str">
        <f t="shared" si="187"/>
        <v/>
      </c>
      <c r="Q1309" s="27" t="str">
        <f t="shared" si="188"/>
        <v/>
      </c>
    </row>
    <row r="1310" spans="13:17" x14ac:dyDescent="0.25">
      <c r="M1310" s="27" t="str">
        <f t="shared" si="186"/>
        <v/>
      </c>
      <c r="O1310" s="27" t="str">
        <f t="shared" si="187"/>
        <v/>
      </c>
      <c r="Q1310" s="27" t="str">
        <f t="shared" si="188"/>
        <v/>
      </c>
    </row>
    <row r="1311" spans="13:17" x14ac:dyDescent="0.25">
      <c r="M1311" s="27" t="str">
        <f t="shared" si="186"/>
        <v/>
      </c>
      <c r="O1311" s="27" t="str">
        <f t="shared" si="187"/>
        <v/>
      </c>
      <c r="Q1311" s="27" t="str">
        <f t="shared" si="188"/>
        <v/>
      </c>
    </row>
    <row r="1312" spans="13:17" x14ac:dyDescent="0.25">
      <c r="M1312" s="27" t="str">
        <f t="shared" si="186"/>
        <v/>
      </c>
      <c r="O1312" s="27" t="str">
        <f t="shared" si="187"/>
        <v/>
      </c>
      <c r="Q1312" s="27" t="str">
        <f t="shared" si="188"/>
        <v/>
      </c>
    </row>
    <row r="1313" spans="13:17" x14ac:dyDescent="0.25">
      <c r="M1313" s="27" t="str">
        <f t="shared" si="186"/>
        <v/>
      </c>
      <c r="O1313" s="27" t="str">
        <f t="shared" si="187"/>
        <v/>
      </c>
      <c r="Q1313" s="27" t="str">
        <f t="shared" si="188"/>
        <v/>
      </c>
    </row>
    <row r="1314" spans="13:17" x14ac:dyDescent="0.25">
      <c r="M1314" s="27" t="str">
        <f t="shared" si="186"/>
        <v/>
      </c>
      <c r="O1314" s="27" t="str">
        <f t="shared" si="187"/>
        <v/>
      </c>
      <c r="Q1314" s="27" t="str">
        <f t="shared" si="188"/>
        <v/>
      </c>
    </row>
    <row r="1315" spans="13:17" x14ac:dyDescent="0.25">
      <c r="M1315" s="27" t="str">
        <f t="shared" si="186"/>
        <v/>
      </c>
      <c r="O1315" s="27" t="str">
        <f t="shared" si="187"/>
        <v/>
      </c>
      <c r="Q1315" s="27" t="str">
        <f t="shared" si="188"/>
        <v/>
      </c>
    </row>
    <row r="1316" spans="13:17" x14ac:dyDescent="0.25">
      <c r="M1316" s="27" t="str">
        <f t="shared" si="186"/>
        <v/>
      </c>
      <c r="O1316" s="27" t="str">
        <f t="shared" si="187"/>
        <v/>
      </c>
      <c r="Q1316" s="27" t="str">
        <f t="shared" si="188"/>
        <v/>
      </c>
    </row>
    <row r="1317" spans="13:17" x14ac:dyDescent="0.25">
      <c r="M1317" s="27" t="str">
        <f t="shared" si="186"/>
        <v/>
      </c>
      <c r="O1317" s="27" t="str">
        <f t="shared" si="187"/>
        <v/>
      </c>
      <c r="Q1317" s="27" t="str">
        <f t="shared" si="188"/>
        <v/>
      </c>
    </row>
    <row r="1318" spans="13:17" x14ac:dyDescent="0.25">
      <c r="M1318" s="27" t="str">
        <f t="shared" si="186"/>
        <v/>
      </c>
      <c r="O1318" s="27" t="str">
        <f t="shared" si="187"/>
        <v/>
      </c>
      <c r="Q1318" s="27" t="str">
        <f t="shared" si="188"/>
        <v/>
      </c>
    </row>
    <row r="1319" spans="13:17" x14ac:dyDescent="0.25">
      <c r="M1319" s="27" t="str">
        <f t="shared" si="186"/>
        <v/>
      </c>
      <c r="O1319" s="27" t="str">
        <f t="shared" si="187"/>
        <v/>
      </c>
      <c r="Q1319" s="27" t="str">
        <f t="shared" si="188"/>
        <v/>
      </c>
    </row>
    <row r="1320" spans="13:17" x14ac:dyDescent="0.25">
      <c r="M1320" s="27" t="str">
        <f t="shared" si="186"/>
        <v/>
      </c>
      <c r="O1320" s="27" t="str">
        <f t="shared" si="187"/>
        <v/>
      </c>
      <c r="Q1320" s="27" t="str">
        <f t="shared" si="188"/>
        <v/>
      </c>
    </row>
    <row r="1321" spans="13:17" x14ac:dyDescent="0.25">
      <c r="M1321" s="27" t="str">
        <f t="shared" si="186"/>
        <v/>
      </c>
      <c r="O1321" s="27" t="str">
        <f t="shared" si="187"/>
        <v/>
      </c>
      <c r="Q1321" s="27" t="str">
        <f t="shared" si="188"/>
        <v/>
      </c>
    </row>
    <row r="1322" spans="13:17" x14ac:dyDescent="0.25">
      <c r="M1322" s="27" t="str">
        <f t="shared" si="186"/>
        <v/>
      </c>
      <c r="O1322" s="27" t="str">
        <f t="shared" si="187"/>
        <v/>
      </c>
      <c r="Q1322" s="27" t="str">
        <f t="shared" si="188"/>
        <v/>
      </c>
    </row>
    <row r="1323" spans="13:17" x14ac:dyDescent="0.25">
      <c r="M1323" s="27" t="str">
        <f t="shared" si="186"/>
        <v/>
      </c>
      <c r="O1323" s="27" t="str">
        <f t="shared" si="187"/>
        <v/>
      </c>
      <c r="Q1323" s="27" t="str">
        <f t="shared" si="188"/>
        <v/>
      </c>
    </row>
    <row r="1324" spans="13:17" x14ac:dyDescent="0.25">
      <c r="M1324" s="27" t="str">
        <f t="shared" si="186"/>
        <v/>
      </c>
      <c r="O1324" s="27" t="str">
        <f t="shared" si="187"/>
        <v/>
      </c>
      <c r="Q1324" s="27" t="str">
        <f t="shared" si="188"/>
        <v/>
      </c>
    </row>
    <row r="1325" spans="13:17" x14ac:dyDescent="0.25">
      <c r="M1325" s="27" t="str">
        <f t="shared" si="186"/>
        <v/>
      </c>
      <c r="O1325" s="27" t="str">
        <f t="shared" si="187"/>
        <v/>
      </c>
      <c r="Q1325" s="27" t="str">
        <f t="shared" si="188"/>
        <v/>
      </c>
    </row>
    <row r="1326" spans="13:17" x14ac:dyDescent="0.25">
      <c r="M1326" s="27" t="str">
        <f t="shared" si="186"/>
        <v/>
      </c>
      <c r="O1326" s="27" t="str">
        <f t="shared" si="187"/>
        <v/>
      </c>
      <c r="Q1326" s="27" t="str">
        <f t="shared" si="188"/>
        <v/>
      </c>
    </row>
    <row r="1327" spans="13:17" x14ac:dyDescent="0.25">
      <c r="M1327" s="27" t="str">
        <f t="shared" si="186"/>
        <v/>
      </c>
      <c r="O1327" s="27" t="str">
        <f t="shared" si="187"/>
        <v/>
      </c>
      <c r="Q1327" s="27" t="str">
        <f t="shared" si="188"/>
        <v/>
      </c>
    </row>
    <row r="1328" spans="13:17" x14ac:dyDescent="0.25">
      <c r="M1328" s="27" t="str">
        <f t="shared" si="186"/>
        <v/>
      </c>
      <c r="O1328" s="27" t="str">
        <f t="shared" si="187"/>
        <v/>
      </c>
      <c r="Q1328" s="27" t="str">
        <f t="shared" si="188"/>
        <v/>
      </c>
    </row>
    <row r="1329" spans="13:17" x14ac:dyDescent="0.25">
      <c r="M1329" s="27" t="str">
        <f t="shared" si="186"/>
        <v/>
      </c>
      <c r="O1329" s="27" t="str">
        <f t="shared" si="187"/>
        <v/>
      </c>
      <c r="Q1329" s="27" t="str">
        <f t="shared" si="188"/>
        <v/>
      </c>
    </row>
    <row r="1330" spans="13:17" x14ac:dyDescent="0.25">
      <c r="M1330" s="27" t="str">
        <f t="shared" si="186"/>
        <v/>
      </c>
      <c r="O1330" s="27" t="str">
        <f t="shared" si="187"/>
        <v/>
      </c>
      <c r="Q1330" s="27" t="str">
        <f t="shared" si="188"/>
        <v/>
      </c>
    </row>
    <row r="1331" spans="13:17" x14ac:dyDescent="0.25">
      <c r="M1331" s="27" t="str">
        <f t="shared" si="186"/>
        <v/>
      </c>
      <c r="O1331" s="27" t="str">
        <f t="shared" si="187"/>
        <v/>
      </c>
      <c r="Q1331" s="27" t="str">
        <f t="shared" si="188"/>
        <v/>
      </c>
    </row>
    <row r="1332" spans="13:17" x14ac:dyDescent="0.25">
      <c r="M1332" s="27" t="str">
        <f t="shared" si="186"/>
        <v/>
      </c>
      <c r="O1332" s="27" t="str">
        <f t="shared" si="187"/>
        <v/>
      </c>
      <c r="Q1332" s="27" t="str">
        <f t="shared" si="188"/>
        <v/>
      </c>
    </row>
    <row r="1333" spans="13:17" x14ac:dyDescent="0.25">
      <c r="M1333" s="27" t="str">
        <f t="shared" si="186"/>
        <v/>
      </c>
      <c r="O1333" s="27" t="str">
        <f t="shared" si="187"/>
        <v/>
      </c>
      <c r="Q1333" s="27" t="str">
        <f t="shared" si="188"/>
        <v/>
      </c>
    </row>
    <row r="1334" spans="13:17" x14ac:dyDescent="0.25">
      <c r="M1334" s="27" t="str">
        <f t="shared" si="186"/>
        <v/>
      </c>
      <c r="O1334" s="27" t="str">
        <f t="shared" si="187"/>
        <v/>
      </c>
      <c r="Q1334" s="27" t="str">
        <f t="shared" si="188"/>
        <v/>
      </c>
    </row>
    <row r="1335" spans="13:17" x14ac:dyDescent="0.25">
      <c r="M1335" s="27" t="str">
        <f t="shared" si="186"/>
        <v/>
      </c>
      <c r="O1335" s="27" t="str">
        <f t="shared" si="187"/>
        <v/>
      </c>
      <c r="Q1335" s="27" t="str">
        <f t="shared" si="188"/>
        <v/>
      </c>
    </row>
    <row r="1336" spans="13:17" x14ac:dyDescent="0.25">
      <c r="M1336" s="27" t="str">
        <f t="shared" si="186"/>
        <v/>
      </c>
      <c r="O1336" s="27" t="str">
        <f t="shared" si="187"/>
        <v/>
      </c>
      <c r="Q1336" s="27" t="str">
        <f t="shared" si="188"/>
        <v/>
      </c>
    </row>
    <row r="1337" spans="13:17" x14ac:dyDescent="0.25">
      <c r="M1337" s="27" t="str">
        <f t="shared" si="186"/>
        <v/>
      </c>
      <c r="O1337" s="27" t="str">
        <f t="shared" si="187"/>
        <v/>
      </c>
      <c r="Q1337" s="27" t="str">
        <f t="shared" si="188"/>
        <v/>
      </c>
    </row>
    <row r="1338" spans="13:17" x14ac:dyDescent="0.25">
      <c r="M1338" s="27" t="str">
        <f t="shared" ref="M1338:M1401" si="189">IF(L1338="","",VLOOKUP(L1338,$Y$4:$Z$15,2,TRUE))</f>
        <v/>
      </c>
      <c r="O1338" s="27" t="str">
        <f t="shared" ref="O1338:O1401" si="190">IF(N1338="","",VLOOKUP(N1338,$Y$4:$Z$15,2,TRUE))</f>
        <v/>
      </c>
      <c r="Q1338" s="27" t="str">
        <f t="shared" si="188"/>
        <v/>
      </c>
    </row>
    <row r="1339" spans="13:17" x14ac:dyDescent="0.25">
      <c r="M1339" s="27" t="str">
        <f t="shared" si="189"/>
        <v/>
      </c>
      <c r="O1339" s="27" t="str">
        <f t="shared" si="190"/>
        <v/>
      </c>
      <c r="Q1339" s="27" t="str">
        <f t="shared" si="188"/>
        <v/>
      </c>
    </row>
    <row r="1340" spans="13:17" x14ac:dyDescent="0.25">
      <c r="M1340" s="27" t="str">
        <f t="shared" si="189"/>
        <v/>
      </c>
      <c r="O1340" s="27" t="str">
        <f t="shared" si="190"/>
        <v/>
      </c>
      <c r="Q1340" s="27" t="str">
        <f t="shared" si="188"/>
        <v/>
      </c>
    </row>
    <row r="1341" spans="13:17" x14ac:dyDescent="0.25">
      <c r="M1341" s="27" t="str">
        <f t="shared" si="189"/>
        <v/>
      </c>
      <c r="O1341" s="27" t="str">
        <f t="shared" si="190"/>
        <v/>
      </c>
      <c r="Q1341" s="27" t="str">
        <f t="shared" si="188"/>
        <v/>
      </c>
    </row>
    <row r="1342" spans="13:17" x14ac:dyDescent="0.25">
      <c r="M1342" s="27" t="str">
        <f t="shared" si="189"/>
        <v/>
      </c>
      <c r="O1342" s="27" t="str">
        <f t="shared" si="190"/>
        <v/>
      </c>
      <c r="Q1342" s="27" t="str">
        <f t="shared" si="188"/>
        <v/>
      </c>
    </row>
    <row r="1343" spans="13:17" x14ac:dyDescent="0.25">
      <c r="M1343" s="27" t="str">
        <f t="shared" si="189"/>
        <v/>
      </c>
      <c r="O1343" s="27" t="str">
        <f t="shared" si="190"/>
        <v/>
      </c>
      <c r="Q1343" s="27" t="str">
        <f t="shared" si="188"/>
        <v/>
      </c>
    </row>
    <row r="1344" spans="13:17" x14ac:dyDescent="0.25">
      <c r="M1344" s="27" t="str">
        <f t="shared" si="189"/>
        <v/>
      </c>
      <c r="O1344" s="27" t="str">
        <f t="shared" si="190"/>
        <v/>
      </c>
      <c r="Q1344" s="27" t="str">
        <f t="shared" si="188"/>
        <v/>
      </c>
    </row>
    <row r="1345" spans="13:17" x14ac:dyDescent="0.25">
      <c r="M1345" s="27" t="str">
        <f t="shared" si="189"/>
        <v/>
      </c>
      <c r="O1345" s="27" t="str">
        <f t="shared" si="190"/>
        <v/>
      </c>
      <c r="Q1345" s="27" t="str">
        <f t="shared" si="188"/>
        <v/>
      </c>
    </row>
    <row r="1346" spans="13:17" x14ac:dyDescent="0.25">
      <c r="M1346" s="27" t="str">
        <f t="shared" si="189"/>
        <v/>
      </c>
      <c r="O1346" s="27" t="str">
        <f t="shared" si="190"/>
        <v/>
      </c>
      <c r="Q1346" s="27" t="str">
        <f t="shared" si="188"/>
        <v/>
      </c>
    </row>
    <row r="1347" spans="13:17" x14ac:dyDescent="0.25">
      <c r="M1347" s="27" t="str">
        <f t="shared" si="189"/>
        <v/>
      </c>
      <c r="O1347" s="27" t="str">
        <f t="shared" si="190"/>
        <v/>
      </c>
      <c r="Q1347" s="27" t="str">
        <f t="shared" ref="Q1347:Q1410" si="191">IF(P1347="","",P1347/500*12)</f>
        <v/>
      </c>
    </row>
    <row r="1348" spans="13:17" x14ac:dyDescent="0.25">
      <c r="M1348" s="27" t="str">
        <f t="shared" si="189"/>
        <v/>
      </c>
      <c r="O1348" s="27" t="str">
        <f t="shared" si="190"/>
        <v/>
      </c>
      <c r="Q1348" s="27" t="str">
        <f t="shared" si="191"/>
        <v/>
      </c>
    </row>
    <row r="1349" spans="13:17" x14ac:dyDescent="0.25">
      <c r="M1349" s="27" t="str">
        <f t="shared" si="189"/>
        <v/>
      </c>
      <c r="O1349" s="27" t="str">
        <f t="shared" si="190"/>
        <v/>
      </c>
      <c r="Q1349" s="27" t="str">
        <f t="shared" si="191"/>
        <v/>
      </c>
    </row>
    <row r="1350" spans="13:17" x14ac:dyDescent="0.25">
      <c r="M1350" s="27" t="str">
        <f t="shared" si="189"/>
        <v/>
      </c>
      <c r="O1350" s="27" t="str">
        <f t="shared" si="190"/>
        <v/>
      </c>
      <c r="Q1350" s="27" t="str">
        <f t="shared" si="191"/>
        <v/>
      </c>
    </row>
    <row r="1351" spans="13:17" x14ac:dyDescent="0.25">
      <c r="M1351" s="27" t="str">
        <f t="shared" si="189"/>
        <v/>
      </c>
      <c r="O1351" s="27" t="str">
        <f t="shared" si="190"/>
        <v/>
      </c>
      <c r="Q1351" s="27" t="str">
        <f t="shared" si="191"/>
        <v/>
      </c>
    </row>
    <row r="1352" spans="13:17" x14ac:dyDescent="0.25">
      <c r="M1352" s="27" t="str">
        <f t="shared" si="189"/>
        <v/>
      </c>
      <c r="O1352" s="27" t="str">
        <f t="shared" si="190"/>
        <v/>
      </c>
      <c r="Q1352" s="27" t="str">
        <f t="shared" si="191"/>
        <v/>
      </c>
    </row>
    <row r="1353" spans="13:17" x14ac:dyDescent="0.25">
      <c r="M1353" s="27" t="str">
        <f t="shared" si="189"/>
        <v/>
      </c>
      <c r="O1353" s="27" t="str">
        <f t="shared" si="190"/>
        <v/>
      </c>
      <c r="Q1353" s="27" t="str">
        <f t="shared" si="191"/>
        <v/>
      </c>
    </row>
    <row r="1354" spans="13:17" x14ac:dyDescent="0.25">
      <c r="M1354" s="27" t="str">
        <f t="shared" si="189"/>
        <v/>
      </c>
      <c r="O1354" s="27" t="str">
        <f t="shared" si="190"/>
        <v/>
      </c>
      <c r="Q1354" s="27" t="str">
        <f t="shared" si="191"/>
        <v/>
      </c>
    </row>
    <row r="1355" spans="13:17" x14ac:dyDescent="0.25">
      <c r="M1355" s="27" t="str">
        <f t="shared" si="189"/>
        <v/>
      </c>
      <c r="O1355" s="27" t="str">
        <f t="shared" si="190"/>
        <v/>
      </c>
      <c r="Q1355" s="27" t="str">
        <f t="shared" si="191"/>
        <v/>
      </c>
    </row>
    <row r="1356" spans="13:17" x14ac:dyDescent="0.25">
      <c r="M1356" s="27" t="str">
        <f t="shared" si="189"/>
        <v/>
      </c>
      <c r="O1356" s="27" t="str">
        <f t="shared" si="190"/>
        <v/>
      </c>
      <c r="Q1356" s="27" t="str">
        <f t="shared" si="191"/>
        <v/>
      </c>
    </row>
    <row r="1357" spans="13:17" x14ac:dyDescent="0.25">
      <c r="M1357" s="27" t="str">
        <f t="shared" si="189"/>
        <v/>
      </c>
      <c r="O1357" s="27" t="str">
        <f t="shared" si="190"/>
        <v/>
      </c>
      <c r="Q1357" s="27" t="str">
        <f t="shared" si="191"/>
        <v/>
      </c>
    </row>
    <row r="1358" spans="13:17" x14ac:dyDescent="0.25">
      <c r="M1358" s="27" t="str">
        <f t="shared" si="189"/>
        <v/>
      </c>
      <c r="O1358" s="27" t="str">
        <f t="shared" si="190"/>
        <v/>
      </c>
      <c r="Q1358" s="27" t="str">
        <f t="shared" si="191"/>
        <v/>
      </c>
    </row>
    <row r="1359" spans="13:17" x14ac:dyDescent="0.25">
      <c r="M1359" s="27" t="str">
        <f t="shared" si="189"/>
        <v/>
      </c>
      <c r="O1359" s="27" t="str">
        <f t="shared" si="190"/>
        <v/>
      </c>
      <c r="Q1359" s="27" t="str">
        <f t="shared" si="191"/>
        <v/>
      </c>
    </row>
    <row r="1360" spans="13:17" x14ac:dyDescent="0.25">
      <c r="M1360" s="27" t="str">
        <f t="shared" si="189"/>
        <v/>
      </c>
      <c r="O1360" s="27" t="str">
        <f t="shared" si="190"/>
        <v/>
      </c>
      <c r="Q1360" s="27" t="str">
        <f t="shared" si="191"/>
        <v/>
      </c>
    </row>
    <row r="1361" spans="13:17" x14ac:dyDescent="0.25">
      <c r="M1361" s="27" t="str">
        <f t="shared" si="189"/>
        <v/>
      </c>
      <c r="O1361" s="27" t="str">
        <f t="shared" si="190"/>
        <v/>
      </c>
      <c r="Q1361" s="27" t="str">
        <f t="shared" si="191"/>
        <v/>
      </c>
    </row>
    <row r="1362" spans="13:17" x14ac:dyDescent="0.25">
      <c r="M1362" s="27" t="str">
        <f t="shared" si="189"/>
        <v/>
      </c>
      <c r="O1362" s="27" t="str">
        <f t="shared" si="190"/>
        <v/>
      </c>
      <c r="Q1362" s="27" t="str">
        <f t="shared" si="191"/>
        <v/>
      </c>
    </row>
    <row r="1363" spans="13:17" x14ac:dyDescent="0.25">
      <c r="M1363" s="27" t="str">
        <f t="shared" si="189"/>
        <v/>
      </c>
      <c r="O1363" s="27" t="str">
        <f t="shared" si="190"/>
        <v/>
      </c>
      <c r="Q1363" s="27" t="str">
        <f t="shared" si="191"/>
        <v/>
      </c>
    </row>
    <row r="1364" spans="13:17" x14ac:dyDescent="0.25">
      <c r="M1364" s="27" t="str">
        <f t="shared" si="189"/>
        <v/>
      </c>
      <c r="O1364" s="27" t="str">
        <f t="shared" si="190"/>
        <v/>
      </c>
      <c r="Q1364" s="27" t="str">
        <f t="shared" si="191"/>
        <v/>
      </c>
    </row>
    <row r="1365" spans="13:17" x14ac:dyDescent="0.25">
      <c r="M1365" s="27" t="str">
        <f t="shared" si="189"/>
        <v/>
      </c>
      <c r="O1365" s="27" t="str">
        <f t="shared" si="190"/>
        <v/>
      </c>
      <c r="Q1365" s="27" t="str">
        <f t="shared" si="191"/>
        <v/>
      </c>
    </row>
    <row r="1366" spans="13:17" x14ac:dyDescent="0.25">
      <c r="M1366" s="27" t="str">
        <f t="shared" si="189"/>
        <v/>
      </c>
      <c r="O1366" s="27" t="str">
        <f t="shared" si="190"/>
        <v/>
      </c>
      <c r="Q1366" s="27" t="str">
        <f t="shared" si="191"/>
        <v/>
      </c>
    </row>
    <row r="1367" spans="13:17" x14ac:dyDescent="0.25">
      <c r="M1367" s="27" t="str">
        <f t="shared" si="189"/>
        <v/>
      </c>
      <c r="O1367" s="27" t="str">
        <f t="shared" si="190"/>
        <v/>
      </c>
      <c r="Q1367" s="27" t="str">
        <f t="shared" si="191"/>
        <v/>
      </c>
    </row>
    <row r="1368" spans="13:17" x14ac:dyDescent="0.25">
      <c r="M1368" s="27" t="str">
        <f t="shared" si="189"/>
        <v/>
      </c>
      <c r="O1368" s="27" t="str">
        <f t="shared" si="190"/>
        <v/>
      </c>
      <c r="Q1368" s="27" t="str">
        <f t="shared" si="191"/>
        <v/>
      </c>
    </row>
    <row r="1369" spans="13:17" x14ac:dyDescent="0.25">
      <c r="M1369" s="27" t="str">
        <f t="shared" si="189"/>
        <v/>
      </c>
      <c r="O1369" s="27" t="str">
        <f t="shared" si="190"/>
        <v/>
      </c>
      <c r="Q1369" s="27" t="str">
        <f t="shared" si="191"/>
        <v/>
      </c>
    </row>
    <row r="1370" spans="13:17" x14ac:dyDescent="0.25">
      <c r="M1370" s="27" t="str">
        <f t="shared" si="189"/>
        <v/>
      </c>
      <c r="O1370" s="27" t="str">
        <f t="shared" si="190"/>
        <v/>
      </c>
      <c r="Q1370" s="27" t="str">
        <f t="shared" si="191"/>
        <v/>
      </c>
    </row>
    <row r="1371" spans="13:17" x14ac:dyDescent="0.25">
      <c r="M1371" s="27" t="str">
        <f t="shared" si="189"/>
        <v/>
      </c>
      <c r="O1371" s="27" t="str">
        <f t="shared" si="190"/>
        <v/>
      </c>
      <c r="Q1371" s="27" t="str">
        <f t="shared" si="191"/>
        <v/>
      </c>
    </row>
    <row r="1372" spans="13:17" x14ac:dyDescent="0.25">
      <c r="M1372" s="27" t="str">
        <f t="shared" si="189"/>
        <v/>
      </c>
      <c r="O1372" s="27" t="str">
        <f t="shared" si="190"/>
        <v/>
      </c>
      <c r="Q1372" s="27" t="str">
        <f t="shared" si="191"/>
        <v/>
      </c>
    </row>
    <row r="1373" spans="13:17" x14ac:dyDescent="0.25">
      <c r="M1373" s="27" t="str">
        <f t="shared" si="189"/>
        <v/>
      </c>
      <c r="O1373" s="27" t="str">
        <f t="shared" si="190"/>
        <v/>
      </c>
      <c r="Q1373" s="27" t="str">
        <f t="shared" si="191"/>
        <v/>
      </c>
    </row>
    <row r="1374" spans="13:17" x14ac:dyDescent="0.25">
      <c r="M1374" s="27" t="str">
        <f t="shared" si="189"/>
        <v/>
      </c>
      <c r="O1374" s="27" t="str">
        <f t="shared" si="190"/>
        <v/>
      </c>
      <c r="Q1374" s="27" t="str">
        <f t="shared" si="191"/>
        <v/>
      </c>
    </row>
    <row r="1375" spans="13:17" x14ac:dyDescent="0.25">
      <c r="M1375" s="27" t="str">
        <f t="shared" si="189"/>
        <v/>
      </c>
      <c r="O1375" s="27" t="str">
        <f t="shared" si="190"/>
        <v/>
      </c>
      <c r="Q1375" s="27" t="str">
        <f t="shared" si="191"/>
        <v/>
      </c>
    </row>
    <row r="1376" spans="13:17" x14ac:dyDescent="0.25">
      <c r="M1376" s="27" t="str">
        <f t="shared" si="189"/>
        <v/>
      </c>
      <c r="O1376" s="27" t="str">
        <f t="shared" si="190"/>
        <v/>
      </c>
      <c r="Q1376" s="27" t="str">
        <f t="shared" si="191"/>
        <v/>
      </c>
    </row>
    <row r="1377" spans="13:17" x14ac:dyDescent="0.25">
      <c r="M1377" s="27" t="str">
        <f t="shared" si="189"/>
        <v/>
      </c>
      <c r="O1377" s="27" t="str">
        <f t="shared" si="190"/>
        <v/>
      </c>
      <c r="Q1377" s="27" t="str">
        <f t="shared" si="191"/>
        <v/>
      </c>
    </row>
    <row r="1378" spans="13:17" x14ac:dyDescent="0.25">
      <c r="M1378" s="27" t="str">
        <f t="shared" si="189"/>
        <v/>
      </c>
      <c r="O1378" s="27" t="str">
        <f t="shared" si="190"/>
        <v/>
      </c>
      <c r="Q1378" s="27" t="str">
        <f t="shared" si="191"/>
        <v/>
      </c>
    </row>
    <row r="1379" spans="13:17" x14ac:dyDescent="0.25">
      <c r="M1379" s="27" t="str">
        <f t="shared" si="189"/>
        <v/>
      </c>
      <c r="O1379" s="27" t="str">
        <f t="shared" si="190"/>
        <v/>
      </c>
      <c r="Q1379" s="27" t="str">
        <f t="shared" si="191"/>
        <v/>
      </c>
    </row>
    <row r="1380" spans="13:17" x14ac:dyDescent="0.25">
      <c r="M1380" s="27" t="str">
        <f t="shared" si="189"/>
        <v/>
      </c>
      <c r="O1380" s="27" t="str">
        <f t="shared" si="190"/>
        <v/>
      </c>
      <c r="Q1380" s="27" t="str">
        <f t="shared" si="191"/>
        <v/>
      </c>
    </row>
    <row r="1381" spans="13:17" x14ac:dyDescent="0.25">
      <c r="M1381" s="27" t="str">
        <f t="shared" si="189"/>
        <v/>
      </c>
      <c r="O1381" s="27" t="str">
        <f t="shared" si="190"/>
        <v/>
      </c>
      <c r="Q1381" s="27" t="str">
        <f t="shared" si="191"/>
        <v/>
      </c>
    </row>
    <row r="1382" spans="13:17" x14ac:dyDescent="0.25">
      <c r="M1382" s="27" t="str">
        <f t="shared" si="189"/>
        <v/>
      </c>
      <c r="O1382" s="27" t="str">
        <f t="shared" si="190"/>
        <v/>
      </c>
      <c r="Q1382" s="27" t="str">
        <f t="shared" si="191"/>
        <v/>
      </c>
    </row>
    <row r="1383" spans="13:17" x14ac:dyDescent="0.25">
      <c r="M1383" s="27" t="str">
        <f t="shared" si="189"/>
        <v/>
      </c>
      <c r="O1383" s="27" t="str">
        <f t="shared" si="190"/>
        <v/>
      </c>
      <c r="Q1383" s="27" t="str">
        <f t="shared" si="191"/>
        <v/>
      </c>
    </row>
    <row r="1384" spans="13:17" x14ac:dyDescent="0.25">
      <c r="M1384" s="27" t="str">
        <f t="shared" si="189"/>
        <v/>
      </c>
      <c r="O1384" s="27" t="str">
        <f t="shared" si="190"/>
        <v/>
      </c>
      <c r="Q1384" s="27" t="str">
        <f t="shared" si="191"/>
        <v/>
      </c>
    </row>
    <row r="1385" spans="13:17" x14ac:dyDescent="0.25">
      <c r="M1385" s="27" t="str">
        <f t="shared" si="189"/>
        <v/>
      </c>
      <c r="O1385" s="27" t="str">
        <f t="shared" si="190"/>
        <v/>
      </c>
      <c r="Q1385" s="27" t="str">
        <f t="shared" si="191"/>
        <v/>
      </c>
    </row>
    <row r="1386" spans="13:17" x14ac:dyDescent="0.25">
      <c r="M1386" s="27" t="str">
        <f t="shared" si="189"/>
        <v/>
      </c>
      <c r="O1386" s="27" t="str">
        <f t="shared" si="190"/>
        <v/>
      </c>
      <c r="Q1386" s="27" t="str">
        <f t="shared" si="191"/>
        <v/>
      </c>
    </row>
    <row r="1387" spans="13:17" x14ac:dyDescent="0.25">
      <c r="M1387" s="27" t="str">
        <f t="shared" si="189"/>
        <v/>
      </c>
      <c r="O1387" s="27" t="str">
        <f t="shared" si="190"/>
        <v/>
      </c>
      <c r="Q1387" s="27" t="str">
        <f t="shared" si="191"/>
        <v/>
      </c>
    </row>
    <row r="1388" spans="13:17" x14ac:dyDescent="0.25">
      <c r="M1388" s="27" t="str">
        <f t="shared" si="189"/>
        <v/>
      </c>
      <c r="O1388" s="27" t="str">
        <f t="shared" si="190"/>
        <v/>
      </c>
      <c r="Q1388" s="27" t="str">
        <f t="shared" si="191"/>
        <v/>
      </c>
    </row>
    <row r="1389" spans="13:17" x14ac:dyDescent="0.25">
      <c r="M1389" s="27" t="str">
        <f t="shared" si="189"/>
        <v/>
      </c>
      <c r="O1389" s="27" t="str">
        <f t="shared" si="190"/>
        <v/>
      </c>
      <c r="Q1389" s="27" t="str">
        <f t="shared" si="191"/>
        <v/>
      </c>
    </row>
    <row r="1390" spans="13:17" x14ac:dyDescent="0.25">
      <c r="M1390" s="27" t="str">
        <f t="shared" si="189"/>
        <v/>
      </c>
      <c r="O1390" s="27" t="str">
        <f t="shared" si="190"/>
        <v/>
      </c>
      <c r="Q1390" s="27" t="str">
        <f t="shared" si="191"/>
        <v/>
      </c>
    </row>
    <row r="1391" spans="13:17" x14ac:dyDescent="0.25">
      <c r="M1391" s="27" t="str">
        <f t="shared" si="189"/>
        <v/>
      </c>
      <c r="O1391" s="27" t="str">
        <f t="shared" si="190"/>
        <v/>
      </c>
      <c r="Q1391" s="27" t="str">
        <f t="shared" si="191"/>
        <v/>
      </c>
    </row>
    <row r="1392" spans="13:17" x14ac:dyDescent="0.25">
      <c r="M1392" s="27" t="str">
        <f t="shared" si="189"/>
        <v/>
      </c>
      <c r="O1392" s="27" t="str">
        <f t="shared" si="190"/>
        <v/>
      </c>
      <c r="Q1392" s="27" t="str">
        <f t="shared" si="191"/>
        <v/>
      </c>
    </row>
    <row r="1393" spans="13:17" x14ac:dyDescent="0.25">
      <c r="M1393" s="27" t="str">
        <f t="shared" si="189"/>
        <v/>
      </c>
      <c r="O1393" s="27" t="str">
        <f t="shared" si="190"/>
        <v/>
      </c>
      <c r="Q1393" s="27" t="str">
        <f t="shared" si="191"/>
        <v/>
      </c>
    </row>
    <row r="1394" spans="13:17" x14ac:dyDescent="0.25">
      <c r="M1394" s="27" t="str">
        <f t="shared" si="189"/>
        <v/>
      </c>
      <c r="O1394" s="27" t="str">
        <f t="shared" si="190"/>
        <v/>
      </c>
      <c r="Q1394" s="27" t="str">
        <f t="shared" si="191"/>
        <v/>
      </c>
    </row>
    <row r="1395" spans="13:17" x14ac:dyDescent="0.25">
      <c r="M1395" s="27" t="str">
        <f t="shared" si="189"/>
        <v/>
      </c>
      <c r="O1395" s="27" t="str">
        <f t="shared" si="190"/>
        <v/>
      </c>
      <c r="Q1395" s="27" t="str">
        <f t="shared" si="191"/>
        <v/>
      </c>
    </row>
    <row r="1396" spans="13:17" x14ac:dyDescent="0.25">
      <c r="M1396" s="27" t="str">
        <f t="shared" si="189"/>
        <v/>
      </c>
      <c r="O1396" s="27" t="str">
        <f t="shared" si="190"/>
        <v/>
      </c>
      <c r="Q1396" s="27" t="str">
        <f t="shared" si="191"/>
        <v/>
      </c>
    </row>
    <row r="1397" spans="13:17" x14ac:dyDescent="0.25">
      <c r="M1397" s="27" t="str">
        <f t="shared" si="189"/>
        <v/>
      </c>
      <c r="O1397" s="27" t="str">
        <f t="shared" si="190"/>
        <v/>
      </c>
      <c r="Q1397" s="27" t="str">
        <f t="shared" si="191"/>
        <v/>
      </c>
    </row>
    <row r="1398" spans="13:17" x14ac:dyDescent="0.25">
      <c r="M1398" s="27" t="str">
        <f t="shared" si="189"/>
        <v/>
      </c>
      <c r="O1398" s="27" t="str">
        <f t="shared" si="190"/>
        <v/>
      </c>
      <c r="Q1398" s="27" t="str">
        <f t="shared" si="191"/>
        <v/>
      </c>
    </row>
    <row r="1399" spans="13:17" x14ac:dyDescent="0.25">
      <c r="M1399" s="27" t="str">
        <f t="shared" si="189"/>
        <v/>
      </c>
      <c r="O1399" s="27" t="str">
        <f t="shared" si="190"/>
        <v/>
      </c>
      <c r="Q1399" s="27" t="str">
        <f t="shared" si="191"/>
        <v/>
      </c>
    </row>
    <row r="1400" spans="13:17" x14ac:dyDescent="0.25">
      <c r="M1400" s="27" t="str">
        <f t="shared" si="189"/>
        <v/>
      </c>
      <c r="O1400" s="27" t="str">
        <f t="shared" si="190"/>
        <v/>
      </c>
      <c r="Q1400" s="27" t="str">
        <f t="shared" si="191"/>
        <v/>
      </c>
    </row>
    <row r="1401" spans="13:17" x14ac:dyDescent="0.25">
      <c r="M1401" s="27" t="str">
        <f t="shared" si="189"/>
        <v/>
      </c>
      <c r="O1401" s="27" t="str">
        <f t="shared" si="190"/>
        <v/>
      </c>
      <c r="Q1401" s="27" t="str">
        <f t="shared" si="191"/>
        <v/>
      </c>
    </row>
    <row r="1402" spans="13:17" x14ac:dyDescent="0.25">
      <c r="M1402" s="27" t="str">
        <f t="shared" ref="M1402:M1465" si="192">IF(L1402="","",VLOOKUP(L1402,$Y$4:$Z$15,2,TRUE))</f>
        <v/>
      </c>
      <c r="O1402" s="27" t="str">
        <f t="shared" ref="O1402:O1465" si="193">IF(N1402="","",VLOOKUP(N1402,$Y$4:$Z$15,2,TRUE))</f>
        <v/>
      </c>
      <c r="Q1402" s="27" t="str">
        <f t="shared" si="191"/>
        <v/>
      </c>
    </row>
    <row r="1403" spans="13:17" x14ac:dyDescent="0.25">
      <c r="M1403" s="27" t="str">
        <f t="shared" si="192"/>
        <v/>
      </c>
      <c r="O1403" s="27" t="str">
        <f t="shared" si="193"/>
        <v/>
      </c>
      <c r="Q1403" s="27" t="str">
        <f t="shared" si="191"/>
        <v/>
      </c>
    </row>
    <row r="1404" spans="13:17" x14ac:dyDescent="0.25">
      <c r="M1404" s="27" t="str">
        <f t="shared" si="192"/>
        <v/>
      </c>
      <c r="O1404" s="27" t="str">
        <f t="shared" si="193"/>
        <v/>
      </c>
      <c r="Q1404" s="27" t="str">
        <f t="shared" si="191"/>
        <v/>
      </c>
    </row>
    <row r="1405" spans="13:17" x14ac:dyDescent="0.25">
      <c r="M1405" s="27" t="str">
        <f t="shared" si="192"/>
        <v/>
      </c>
      <c r="O1405" s="27" t="str">
        <f t="shared" si="193"/>
        <v/>
      </c>
      <c r="Q1405" s="27" t="str">
        <f t="shared" si="191"/>
        <v/>
      </c>
    </row>
    <row r="1406" spans="13:17" x14ac:dyDescent="0.25">
      <c r="M1406" s="27" t="str">
        <f t="shared" si="192"/>
        <v/>
      </c>
      <c r="O1406" s="27" t="str">
        <f t="shared" si="193"/>
        <v/>
      </c>
      <c r="Q1406" s="27" t="str">
        <f t="shared" si="191"/>
        <v/>
      </c>
    </row>
    <row r="1407" spans="13:17" x14ac:dyDescent="0.25">
      <c r="M1407" s="27" t="str">
        <f t="shared" si="192"/>
        <v/>
      </c>
      <c r="O1407" s="27" t="str">
        <f t="shared" si="193"/>
        <v/>
      </c>
      <c r="Q1407" s="27" t="str">
        <f t="shared" si="191"/>
        <v/>
      </c>
    </row>
    <row r="1408" spans="13:17" x14ac:dyDescent="0.25">
      <c r="M1408" s="27" t="str">
        <f t="shared" si="192"/>
        <v/>
      </c>
      <c r="O1408" s="27" t="str">
        <f t="shared" si="193"/>
        <v/>
      </c>
      <c r="Q1408" s="27" t="str">
        <f t="shared" si="191"/>
        <v/>
      </c>
    </row>
    <row r="1409" spans="13:17" x14ac:dyDescent="0.25">
      <c r="M1409" s="27" t="str">
        <f t="shared" si="192"/>
        <v/>
      </c>
      <c r="O1409" s="27" t="str">
        <f t="shared" si="193"/>
        <v/>
      </c>
      <c r="Q1409" s="27" t="str">
        <f t="shared" si="191"/>
        <v/>
      </c>
    </row>
    <row r="1410" spans="13:17" x14ac:dyDescent="0.25">
      <c r="M1410" s="27" t="str">
        <f t="shared" si="192"/>
        <v/>
      </c>
      <c r="O1410" s="27" t="str">
        <f t="shared" si="193"/>
        <v/>
      </c>
      <c r="Q1410" s="27" t="str">
        <f t="shared" si="191"/>
        <v/>
      </c>
    </row>
    <row r="1411" spans="13:17" x14ac:dyDescent="0.25">
      <c r="M1411" s="27" t="str">
        <f t="shared" si="192"/>
        <v/>
      </c>
      <c r="O1411" s="27" t="str">
        <f t="shared" si="193"/>
        <v/>
      </c>
      <c r="Q1411" s="27" t="str">
        <f t="shared" ref="Q1411:Q1474" si="194">IF(P1411="","",P1411/500*12)</f>
        <v/>
      </c>
    </row>
    <row r="1412" spans="13:17" x14ac:dyDescent="0.25">
      <c r="M1412" s="27" t="str">
        <f t="shared" si="192"/>
        <v/>
      </c>
      <c r="O1412" s="27" t="str">
        <f t="shared" si="193"/>
        <v/>
      </c>
      <c r="Q1412" s="27" t="str">
        <f t="shared" si="194"/>
        <v/>
      </c>
    </row>
    <row r="1413" spans="13:17" x14ac:dyDescent="0.25">
      <c r="M1413" s="27" t="str">
        <f t="shared" si="192"/>
        <v/>
      </c>
      <c r="O1413" s="27" t="str">
        <f t="shared" si="193"/>
        <v/>
      </c>
      <c r="Q1413" s="27" t="str">
        <f t="shared" si="194"/>
        <v/>
      </c>
    </row>
    <row r="1414" spans="13:17" x14ac:dyDescent="0.25">
      <c r="M1414" s="27" t="str">
        <f t="shared" si="192"/>
        <v/>
      </c>
      <c r="O1414" s="27" t="str">
        <f t="shared" si="193"/>
        <v/>
      </c>
      <c r="Q1414" s="27" t="str">
        <f t="shared" si="194"/>
        <v/>
      </c>
    </row>
    <row r="1415" spans="13:17" x14ac:dyDescent="0.25">
      <c r="M1415" s="27" t="str">
        <f t="shared" si="192"/>
        <v/>
      </c>
      <c r="O1415" s="27" t="str">
        <f t="shared" si="193"/>
        <v/>
      </c>
      <c r="Q1415" s="27" t="str">
        <f t="shared" si="194"/>
        <v/>
      </c>
    </row>
    <row r="1416" spans="13:17" x14ac:dyDescent="0.25">
      <c r="M1416" s="27" t="str">
        <f t="shared" si="192"/>
        <v/>
      </c>
      <c r="O1416" s="27" t="str">
        <f t="shared" si="193"/>
        <v/>
      </c>
      <c r="Q1416" s="27" t="str">
        <f t="shared" si="194"/>
        <v/>
      </c>
    </row>
    <row r="1417" spans="13:17" x14ac:dyDescent="0.25">
      <c r="M1417" s="27" t="str">
        <f t="shared" si="192"/>
        <v/>
      </c>
      <c r="O1417" s="27" t="str">
        <f t="shared" si="193"/>
        <v/>
      </c>
      <c r="Q1417" s="27" t="str">
        <f t="shared" si="194"/>
        <v/>
      </c>
    </row>
    <row r="1418" spans="13:17" x14ac:dyDescent="0.25">
      <c r="M1418" s="27" t="str">
        <f t="shared" si="192"/>
        <v/>
      </c>
      <c r="O1418" s="27" t="str">
        <f t="shared" si="193"/>
        <v/>
      </c>
      <c r="Q1418" s="27" t="str">
        <f t="shared" si="194"/>
        <v/>
      </c>
    </row>
    <row r="1419" spans="13:17" x14ac:dyDescent="0.25">
      <c r="M1419" s="27" t="str">
        <f t="shared" si="192"/>
        <v/>
      </c>
      <c r="O1419" s="27" t="str">
        <f t="shared" si="193"/>
        <v/>
      </c>
      <c r="Q1419" s="27" t="str">
        <f t="shared" si="194"/>
        <v/>
      </c>
    </row>
    <row r="1420" spans="13:17" x14ac:dyDescent="0.25">
      <c r="M1420" s="27" t="str">
        <f t="shared" si="192"/>
        <v/>
      </c>
      <c r="O1420" s="27" t="str">
        <f t="shared" si="193"/>
        <v/>
      </c>
      <c r="Q1420" s="27" t="str">
        <f t="shared" si="194"/>
        <v/>
      </c>
    </row>
    <row r="1421" spans="13:17" x14ac:dyDescent="0.25">
      <c r="M1421" s="27" t="str">
        <f t="shared" si="192"/>
        <v/>
      </c>
      <c r="O1421" s="27" t="str">
        <f t="shared" si="193"/>
        <v/>
      </c>
      <c r="Q1421" s="27" t="str">
        <f t="shared" si="194"/>
        <v/>
      </c>
    </row>
    <row r="1422" spans="13:17" x14ac:dyDescent="0.25">
      <c r="M1422" s="27" t="str">
        <f t="shared" si="192"/>
        <v/>
      </c>
      <c r="O1422" s="27" t="str">
        <f t="shared" si="193"/>
        <v/>
      </c>
      <c r="Q1422" s="27" t="str">
        <f t="shared" si="194"/>
        <v/>
      </c>
    </row>
    <row r="1423" spans="13:17" x14ac:dyDescent="0.25">
      <c r="M1423" s="27" t="str">
        <f t="shared" si="192"/>
        <v/>
      </c>
      <c r="O1423" s="27" t="str">
        <f t="shared" si="193"/>
        <v/>
      </c>
      <c r="Q1423" s="27" t="str">
        <f t="shared" si="194"/>
        <v/>
      </c>
    </row>
    <row r="1424" spans="13:17" x14ac:dyDescent="0.25">
      <c r="M1424" s="27" t="str">
        <f t="shared" si="192"/>
        <v/>
      </c>
      <c r="O1424" s="27" t="str">
        <f t="shared" si="193"/>
        <v/>
      </c>
      <c r="Q1424" s="27" t="str">
        <f t="shared" si="194"/>
        <v/>
      </c>
    </row>
    <row r="1425" spans="13:17" x14ac:dyDescent="0.25">
      <c r="M1425" s="27" t="str">
        <f t="shared" si="192"/>
        <v/>
      </c>
      <c r="O1425" s="27" t="str">
        <f t="shared" si="193"/>
        <v/>
      </c>
      <c r="Q1425" s="27" t="str">
        <f t="shared" si="194"/>
        <v/>
      </c>
    </row>
    <row r="1426" spans="13:17" x14ac:dyDescent="0.25">
      <c r="M1426" s="27" t="str">
        <f t="shared" si="192"/>
        <v/>
      </c>
      <c r="O1426" s="27" t="str">
        <f t="shared" si="193"/>
        <v/>
      </c>
      <c r="Q1426" s="27" t="str">
        <f t="shared" si="194"/>
        <v/>
      </c>
    </row>
    <row r="1427" spans="13:17" x14ac:dyDescent="0.25">
      <c r="M1427" s="27" t="str">
        <f t="shared" si="192"/>
        <v/>
      </c>
      <c r="O1427" s="27" t="str">
        <f t="shared" si="193"/>
        <v/>
      </c>
      <c r="Q1427" s="27" t="str">
        <f t="shared" si="194"/>
        <v/>
      </c>
    </row>
    <row r="1428" spans="13:17" x14ac:dyDescent="0.25">
      <c r="M1428" s="27" t="str">
        <f t="shared" si="192"/>
        <v/>
      </c>
      <c r="O1428" s="27" t="str">
        <f t="shared" si="193"/>
        <v/>
      </c>
      <c r="Q1428" s="27" t="str">
        <f t="shared" si="194"/>
        <v/>
      </c>
    </row>
    <row r="1429" spans="13:17" x14ac:dyDescent="0.25">
      <c r="M1429" s="27" t="str">
        <f t="shared" si="192"/>
        <v/>
      </c>
      <c r="O1429" s="27" t="str">
        <f t="shared" si="193"/>
        <v/>
      </c>
      <c r="Q1429" s="27" t="str">
        <f t="shared" si="194"/>
        <v/>
      </c>
    </row>
    <row r="1430" spans="13:17" x14ac:dyDescent="0.25">
      <c r="M1430" s="27" t="str">
        <f t="shared" si="192"/>
        <v/>
      </c>
      <c r="O1430" s="27" t="str">
        <f t="shared" si="193"/>
        <v/>
      </c>
      <c r="Q1430" s="27" t="str">
        <f t="shared" si="194"/>
        <v/>
      </c>
    </row>
    <row r="1431" spans="13:17" x14ac:dyDescent="0.25">
      <c r="M1431" s="27" t="str">
        <f t="shared" si="192"/>
        <v/>
      </c>
      <c r="O1431" s="27" t="str">
        <f t="shared" si="193"/>
        <v/>
      </c>
      <c r="Q1431" s="27" t="str">
        <f t="shared" si="194"/>
        <v/>
      </c>
    </row>
    <row r="1432" spans="13:17" x14ac:dyDescent="0.25">
      <c r="M1432" s="27" t="str">
        <f t="shared" si="192"/>
        <v/>
      </c>
      <c r="O1432" s="27" t="str">
        <f t="shared" si="193"/>
        <v/>
      </c>
      <c r="Q1432" s="27" t="str">
        <f t="shared" si="194"/>
        <v/>
      </c>
    </row>
    <row r="1433" spans="13:17" x14ac:dyDescent="0.25">
      <c r="M1433" s="27" t="str">
        <f t="shared" si="192"/>
        <v/>
      </c>
      <c r="O1433" s="27" t="str">
        <f t="shared" si="193"/>
        <v/>
      </c>
      <c r="Q1433" s="27" t="str">
        <f t="shared" si="194"/>
        <v/>
      </c>
    </row>
    <row r="1434" spans="13:17" x14ac:dyDescent="0.25">
      <c r="M1434" s="27" t="str">
        <f t="shared" si="192"/>
        <v/>
      </c>
      <c r="O1434" s="27" t="str">
        <f t="shared" si="193"/>
        <v/>
      </c>
      <c r="Q1434" s="27" t="str">
        <f t="shared" si="194"/>
        <v/>
      </c>
    </row>
    <row r="1435" spans="13:17" x14ac:dyDescent="0.25">
      <c r="M1435" s="27" t="str">
        <f t="shared" si="192"/>
        <v/>
      </c>
      <c r="O1435" s="27" t="str">
        <f t="shared" si="193"/>
        <v/>
      </c>
      <c r="Q1435" s="27" t="str">
        <f t="shared" si="194"/>
        <v/>
      </c>
    </row>
    <row r="1436" spans="13:17" x14ac:dyDescent="0.25">
      <c r="M1436" s="27" t="str">
        <f t="shared" si="192"/>
        <v/>
      </c>
      <c r="O1436" s="27" t="str">
        <f t="shared" si="193"/>
        <v/>
      </c>
      <c r="Q1436" s="27" t="str">
        <f t="shared" si="194"/>
        <v/>
      </c>
    </row>
    <row r="1437" spans="13:17" x14ac:dyDescent="0.25">
      <c r="M1437" s="27" t="str">
        <f t="shared" si="192"/>
        <v/>
      </c>
      <c r="O1437" s="27" t="str">
        <f t="shared" si="193"/>
        <v/>
      </c>
      <c r="Q1437" s="27" t="str">
        <f t="shared" si="194"/>
        <v/>
      </c>
    </row>
    <row r="1438" spans="13:17" x14ac:dyDescent="0.25">
      <c r="M1438" s="27" t="str">
        <f t="shared" si="192"/>
        <v/>
      </c>
      <c r="O1438" s="27" t="str">
        <f t="shared" si="193"/>
        <v/>
      </c>
      <c r="Q1438" s="27" t="str">
        <f t="shared" si="194"/>
        <v/>
      </c>
    </row>
    <row r="1439" spans="13:17" x14ac:dyDescent="0.25">
      <c r="M1439" s="27" t="str">
        <f t="shared" si="192"/>
        <v/>
      </c>
      <c r="O1439" s="27" t="str">
        <f t="shared" si="193"/>
        <v/>
      </c>
      <c r="Q1439" s="27" t="str">
        <f t="shared" si="194"/>
        <v/>
      </c>
    </row>
    <row r="1440" spans="13:17" x14ac:dyDescent="0.25">
      <c r="M1440" s="27" t="str">
        <f t="shared" si="192"/>
        <v/>
      </c>
      <c r="O1440" s="27" t="str">
        <f t="shared" si="193"/>
        <v/>
      </c>
      <c r="Q1440" s="27" t="str">
        <f t="shared" si="194"/>
        <v/>
      </c>
    </row>
    <row r="1441" spans="13:17" x14ac:dyDescent="0.25">
      <c r="M1441" s="27" t="str">
        <f t="shared" si="192"/>
        <v/>
      </c>
      <c r="O1441" s="27" t="str">
        <f t="shared" si="193"/>
        <v/>
      </c>
      <c r="Q1441" s="27" t="str">
        <f t="shared" si="194"/>
        <v/>
      </c>
    </row>
    <row r="1442" spans="13:17" x14ac:dyDescent="0.25">
      <c r="M1442" s="27" t="str">
        <f t="shared" si="192"/>
        <v/>
      </c>
      <c r="O1442" s="27" t="str">
        <f t="shared" si="193"/>
        <v/>
      </c>
      <c r="Q1442" s="27" t="str">
        <f t="shared" si="194"/>
        <v/>
      </c>
    </row>
    <row r="1443" spans="13:17" x14ac:dyDescent="0.25">
      <c r="M1443" s="27" t="str">
        <f t="shared" si="192"/>
        <v/>
      </c>
      <c r="O1443" s="27" t="str">
        <f t="shared" si="193"/>
        <v/>
      </c>
      <c r="Q1443" s="27" t="str">
        <f t="shared" si="194"/>
        <v/>
      </c>
    </row>
    <row r="1444" spans="13:17" x14ac:dyDescent="0.25">
      <c r="M1444" s="27" t="str">
        <f t="shared" si="192"/>
        <v/>
      </c>
      <c r="O1444" s="27" t="str">
        <f t="shared" si="193"/>
        <v/>
      </c>
      <c r="Q1444" s="27" t="str">
        <f t="shared" si="194"/>
        <v/>
      </c>
    </row>
    <row r="1445" spans="13:17" x14ac:dyDescent="0.25">
      <c r="M1445" s="27" t="str">
        <f t="shared" si="192"/>
        <v/>
      </c>
      <c r="O1445" s="27" t="str">
        <f t="shared" si="193"/>
        <v/>
      </c>
      <c r="Q1445" s="27" t="str">
        <f t="shared" si="194"/>
        <v/>
      </c>
    </row>
    <row r="1446" spans="13:17" x14ac:dyDescent="0.25">
      <c r="M1446" s="27" t="str">
        <f t="shared" si="192"/>
        <v/>
      </c>
      <c r="O1446" s="27" t="str">
        <f t="shared" si="193"/>
        <v/>
      </c>
      <c r="Q1446" s="27" t="str">
        <f t="shared" si="194"/>
        <v/>
      </c>
    </row>
    <row r="1447" spans="13:17" x14ac:dyDescent="0.25">
      <c r="M1447" s="27" t="str">
        <f t="shared" si="192"/>
        <v/>
      </c>
      <c r="O1447" s="27" t="str">
        <f t="shared" si="193"/>
        <v/>
      </c>
      <c r="Q1447" s="27" t="str">
        <f t="shared" si="194"/>
        <v/>
      </c>
    </row>
    <row r="1448" spans="13:17" x14ac:dyDescent="0.25">
      <c r="M1448" s="27" t="str">
        <f t="shared" si="192"/>
        <v/>
      </c>
      <c r="O1448" s="27" t="str">
        <f t="shared" si="193"/>
        <v/>
      </c>
      <c r="Q1448" s="27" t="str">
        <f t="shared" si="194"/>
        <v/>
      </c>
    </row>
    <row r="1449" spans="13:17" x14ac:dyDescent="0.25">
      <c r="M1449" s="27" t="str">
        <f t="shared" si="192"/>
        <v/>
      </c>
      <c r="O1449" s="27" t="str">
        <f t="shared" si="193"/>
        <v/>
      </c>
      <c r="Q1449" s="27" t="str">
        <f t="shared" si="194"/>
        <v/>
      </c>
    </row>
    <row r="1450" spans="13:17" x14ac:dyDescent="0.25">
      <c r="M1450" s="27" t="str">
        <f t="shared" si="192"/>
        <v/>
      </c>
      <c r="O1450" s="27" t="str">
        <f t="shared" si="193"/>
        <v/>
      </c>
      <c r="Q1450" s="27" t="str">
        <f t="shared" si="194"/>
        <v/>
      </c>
    </row>
    <row r="1451" spans="13:17" x14ac:dyDescent="0.25">
      <c r="M1451" s="27" t="str">
        <f t="shared" si="192"/>
        <v/>
      </c>
      <c r="O1451" s="27" t="str">
        <f t="shared" si="193"/>
        <v/>
      </c>
      <c r="Q1451" s="27" t="str">
        <f t="shared" si="194"/>
        <v/>
      </c>
    </row>
    <row r="1452" spans="13:17" x14ac:dyDescent="0.25">
      <c r="M1452" s="27" t="str">
        <f t="shared" si="192"/>
        <v/>
      </c>
      <c r="O1452" s="27" t="str">
        <f t="shared" si="193"/>
        <v/>
      </c>
      <c r="Q1452" s="27" t="str">
        <f t="shared" si="194"/>
        <v/>
      </c>
    </row>
    <row r="1453" spans="13:17" x14ac:dyDescent="0.25">
      <c r="M1453" s="27" t="str">
        <f t="shared" si="192"/>
        <v/>
      </c>
      <c r="O1453" s="27" t="str">
        <f t="shared" si="193"/>
        <v/>
      </c>
      <c r="Q1453" s="27" t="str">
        <f t="shared" si="194"/>
        <v/>
      </c>
    </row>
    <row r="1454" spans="13:17" x14ac:dyDescent="0.25">
      <c r="M1454" s="27" t="str">
        <f t="shared" si="192"/>
        <v/>
      </c>
      <c r="O1454" s="27" t="str">
        <f t="shared" si="193"/>
        <v/>
      </c>
      <c r="Q1454" s="27" t="str">
        <f t="shared" si="194"/>
        <v/>
      </c>
    </row>
    <row r="1455" spans="13:17" x14ac:dyDescent="0.25">
      <c r="M1455" s="27" t="str">
        <f t="shared" si="192"/>
        <v/>
      </c>
      <c r="O1455" s="27" t="str">
        <f t="shared" si="193"/>
        <v/>
      </c>
      <c r="Q1455" s="27" t="str">
        <f t="shared" si="194"/>
        <v/>
      </c>
    </row>
    <row r="1456" spans="13:17" x14ac:dyDescent="0.25">
      <c r="M1456" s="27" t="str">
        <f t="shared" si="192"/>
        <v/>
      </c>
      <c r="O1456" s="27" t="str">
        <f t="shared" si="193"/>
        <v/>
      </c>
      <c r="Q1456" s="27" t="str">
        <f t="shared" si="194"/>
        <v/>
      </c>
    </row>
    <row r="1457" spans="13:17" x14ac:dyDescent="0.25">
      <c r="M1457" s="27" t="str">
        <f t="shared" si="192"/>
        <v/>
      </c>
      <c r="O1457" s="27" t="str">
        <f t="shared" si="193"/>
        <v/>
      </c>
      <c r="Q1457" s="27" t="str">
        <f t="shared" si="194"/>
        <v/>
      </c>
    </row>
    <row r="1458" spans="13:17" x14ac:dyDescent="0.25">
      <c r="M1458" s="27" t="str">
        <f t="shared" si="192"/>
        <v/>
      </c>
      <c r="O1458" s="27" t="str">
        <f t="shared" si="193"/>
        <v/>
      </c>
      <c r="Q1458" s="27" t="str">
        <f t="shared" si="194"/>
        <v/>
      </c>
    </row>
    <row r="1459" spans="13:17" x14ac:dyDescent="0.25">
      <c r="M1459" s="27" t="str">
        <f t="shared" si="192"/>
        <v/>
      </c>
      <c r="O1459" s="27" t="str">
        <f t="shared" si="193"/>
        <v/>
      </c>
      <c r="Q1459" s="27" t="str">
        <f t="shared" si="194"/>
        <v/>
      </c>
    </row>
    <row r="1460" spans="13:17" x14ac:dyDescent="0.25">
      <c r="M1460" s="27" t="str">
        <f t="shared" si="192"/>
        <v/>
      </c>
      <c r="O1460" s="27" t="str">
        <f t="shared" si="193"/>
        <v/>
      </c>
      <c r="Q1460" s="27" t="str">
        <f t="shared" si="194"/>
        <v/>
      </c>
    </row>
    <row r="1461" spans="13:17" x14ac:dyDescent="0.25">
      <c r="M1461" s="27" t="str">
        <f t="shared" si="192"/>
        <v/>
      </c>
      <c r="O1461" s="27" t="str">
        <f t="shared" si="193"/>
        <v/>
      </c>
      <c r="Q1461" s="27" t="str">
        <f t="shared" si="194"/>
        <v/>
      </c>
    </row>
    <row r="1462" spans="13:17" x14ac:dyDescent="0.25">
      <c r="M1462" s="27" t="str">
        <f t="shared" si="192"/>
        <v/>
      </c>
      <c r="O1462" s="27" t="str">
        <f t="shared" si="193"/>
        <v/>
      </c>
      <c r="Q1462" s="27" t="str">
        <f t="shared" si="194"/>
        <v/>
      </c>
    </row>
    <row r="1463" spans="13:17" x14ac:dyDescent="0.25">
      <c r="M1463" s="27" t="str">
        <f t="shared" si="192"/>
        <v/>
      </c>
      <c r="O1463" s="27" t="str">
        <f t="shared" si="193"/>
        <v/>
      </c>
      <c r="Q1463" s="27" t="str">
        <f t="shared" si="194"/>
        <v/>
      </c>
    </row>
    <row r="1464" spans="13:17" x14ac:dyDescent="0.25">
      <c r="M1464" s="27" t="str">
        <f t="shared" si="192"/>
        <v/>
      </c>
      <c r="O1464" s="27" t="str">
        <f t="shared" si="193"/>
        <v/>
      </c>
      <c r="Q1464" s="27" t="str">
        <f t="shared" si="194"/>
        <v/>
      </c>
    </row>
    <row r="1465" spans="13:17" x14ac:dyDescent="0.25">
      <c r="M1465" s="27" t="str">
        <f t="shared" si="192"/>
        <v/>
      </c>
      <c r="O1465" s="27" t="str">
        <f t="shared" si="193"/>
        <v/>
      </c>
      <c r="Q1465" s="27" t="str">
        <f t="shared" si="194"/>
        <v/>
      </c>
    </row>
    <row r="1466" spans="13:17" x14ac:dyDescent="0.25">
      <c r="M1466" s="27" t="str">
        <f t="shared" ref="M1466:M1529" si="195">IF(L1466="","",VLOOKUP(L1466,$Y$4:$Z$15,2,TRUE))</f>
        <v/>
      </c>
      <c r="O1466" s="27" t="str">
        <f t="shared" ref="O1466:O1529" si="196">IF(N1466="","",VLOOKUP(N1466,$Y$4:$Z$15,2,TRUE))</f>
        <v/>
      </c>
      <c r="Q1466" s="27" t="str">
        <f t="shared" si="194"/>
        <v/>
      </c>
    </row>
    <row r="1467" spans="13:17" x14ac:dyDescent="0.25">
      <c r="M1467" s="27" t="str">
        <f t="shared" si="195"/>
        <v/>
      </c>
      <c r="O1467" s="27" t="str">
        <f t="shared" si="196"/>
        <v/>
      </c>
      <c r="Q1467" s="27" t="str">
        <f t="shared" si="194"/>
        <v/>
      </c>
    </row>
    <row r="1468" spans="13:17" x14ac:dyDescent="0.25">
      <c r="M1468" s="27" t="str">
        <f t="shared" si="195"/>
        <v/>
      </c>
      <c r="O1468" s="27" t="str">
        <f t="shared" si="196"/>
        <v/>
      </c>
      <c r="Q1468" s="27" t="str">
        <f t="shared" si="194"/>
        <v/>
      </c>
    </row>
    <row r="1469" spans="13:17" x14ac:dyDescent="0.25">
      <c r="M1469" s="27" t="str">
        <f t="shared" si="195"/>
        <v/>
      </c>
      <c r="O1469" s="27" t="str">
        <f t="shared" si="196"/>
        <v/>
      </c>
      <c r="Q1469" s="27" t="str">
        <f t="shared" si="194"/>
        <v/>
      </c>
    </row>
    <row r="1470" spans="13:17" x14ac:dyDescent="0.25">
      <c r="M1470" s="27" t="str">
        <f t="shared" si="195"/>
        <v/>
      </c>
      <c r="O1470" s="27" t="str">
        <f t="shared" si="196"/>
        <v/>
      </c>
      <c r="Q1470" s="27" t="str">
        <f t="shared" si="194"/>
        <v/>
      </c>
    </row>
    <row r="1471" spans="13:17" x14ac:dyDescent="0.25">
      <c r="M1471" s="27" t="str">
        <f t="shared" si="195"/>
        <v/>
      </c>
      <c r="O1471" s="27" t="str">
        <f t="shared" si="196"/>
        <v/>
      </c>
      <c r="Q1471" s="27" t="str">
        <f t="shared" si="194"/>
        <v/>
      </c>
    </row>
    <row r="1472" spans="13:17" x14ac:dyDescent="0.25">
      <c r="M1472" s="27" t="str">
        <f t="shared" si="195"/>
        <v/>
      </c>
      <c r="O1472" s="27" t="str">
        <f t="shared" si="196"/>
        <v/>
      </c>
      <c r="Q1472" s="27" t="str">
        <f t="shared" si="194"/>
        <v/>
      </c>
    </row>
    <row r="1473" spans="13:17" x14ac:dyDescent="0.25">
      <c r="M1473" s="27" t="str">
        <f t="shared" si="195"/>
        <v/>
      </c>
      <c r="O1473" s="27" t="str">
        <f t="shared" si="196"/>
        <v/>
      </c>
      <c r="Q1473" s="27" t="str">
        <f t="shared" si="194"/>
        <v/>
      </c>
    </row>
    <row r="1474" spans="13:17" x14ac:dyDescent="0.25">
      <c r="M1474" s="27" t="str">
        <f t="shared" si="195"/>
        <v/>
      </c>
      <c r="O1474" s="27" t="str">
        <f t="shared" si="196"/>
        <v/>
      </c>
      <c r="Q1474" s="27" t="str">
        <f t="shared" si="194"/>
        <v/>
      </c>
    </row>
    <row r="1475" spans="13:17" x14ac:dyDescent="0.25">
      <c r="M1475" s="27" t="str">
        <f t="shared" si="195"/>
        <v/>
      </c>
      <c r="O1475" s="27" t="str">
        <f t="shared" si="196"/>
        <v/>
      </c>
      <c r="Q1475" s="27" t="str">
        <f t="shared" ref="Q1475:Q1538" si="197">IF(P1475="","",P1475/500*12)</f>
        <v/>
      </c>
    </row>
    <row r="1476" spans="13:17" x14ac:dyDescent="0.25">
      <c r="M1476" s="27" t="str">
        <f t="shared" si="195"/>
        <v/>
      </c>
      <c r="O1476" s="27" t="str">
        <f t="shared" si="196"/>
        <v/>
      </c>
      <c r="Q1476" s="27" t="str">
        <f t="shared" si="197"/>
        <v/>
      </c>
    </row>
    <row r="1477" spans="13:17" x14ac:dyDescent="0.25">
      <c r="M1477" s="27" t="str">
        <f t="shared" si="195"/>
        <v/>
      </c>
      <c r="O1477" s="27" t="str">
        <f t="shared" si="196"/>
        <v/>
      </c>
      <c r="Q1477" s="27" t="str">
        <f t="shared" si="197"/>
        <v/>
      </c>
    </row>
    <row r="1478" spans="13:17" x14ac:dyDescent="0.25">
      <c r="M1478" s="27" t="str">
        <f t="shared" si="195"/>
        <v/>
      </c>
      <c r="O1478" s="27" t="str">
        <f t="shared" si="196"/>
        <v/>
      </c>
      <c r="Q1478" s="27" t="str">
        <f t="shared" si="197"/>
        <v/>
      </c>
    </row>
    <row r="1479" spans="13:17" x14ac:dyDescent="0.25">
      <c r="M1479" s="27" t="str">
        <f t="shared" si="195"/>
        <v/>
      </c>
      <c r="O1479" s="27" t="str">
        <f t="shared" si="196"/>
        <v/>
      </c>
      <c r="Q1479" s="27" t="str">
        <f t="shared" si="197"/>
        <v/>
      </c>
    </row>
    <row r="1480" spans="13:17" x14ac:dyDescent="0.25">
      <c r="M1480" s="27" t="str">
        <f t="shared" si="195"/>
        <v/>
      </c>
      <c r="O1480" s="27" t="str">
        <f t="shared" si="196"/>
        <v/>
      </c>
      <c r="Q1480" s="27" t="str">
        <f t="shared" si="197"/>
        <v/>
      </c>
    </row>
    <row r="1481" spans="13:17" x14ac:dyDescent="0.25">
      <c r="M1481" s="27" t="str">
        <f t="shared" si="195"/>
        <v/>
      </c>
      <c r="O1481" s="27" t="str">
        <f t="shared" si="196"/>
        <v/>
      </c>
      <c r="Q1481" s="27" t="str">
        <f t="shared" si="197"/>
        <v/>
      </c>
    </row>
    <row r="1482" spans="13:17" x14ac:dyDescent="0.25">
      <c r="M1482" s="27" t="str">
        <f t="shared" si="195"/>
        <v/>
      </c>
      <c r="O1482" s="27" t="str">
        <f t="shared" si="196"/>
        <v/>
      </c>
      <c r="Q1482" s="27" t="str">
        <f t="shared" si="197"/>
        <v/>
      </c>
    </row>
    <row r="1483" spans="13:17" x14ac:dyDescent="0.25">
      <c r="M1483" s="27" t="str">
        <f t="shared" si="195"/>
        <v/>
      </c>
      <c r="O1483" s="27" t="str">
        <f t="shared" si="196"/>
        <v/>
      </c>
      <c r="Q1483" s="27" t="str">
        <f t="shared" si="197"/>
        <v/>
      </c>
    </row>
    <row r="1484" spans="13:17" x14ac:dyDescent="0.25">
      <c r="M1484" s="27" t="str">
        <f t="shared" si="195"/>
        <v/>
      </c>
      <c r="O1484" s="27" t="str">
        <f t="shared" si="196"/>
        <v/>
      </c>
      <c r="Q1484" s="27" t="str">
        <f t="shared" si="197"/>
        <v/>
      </c>
    </row>
    <row r="1485" spans="13:17" x14ac:dyDescent="0.25">
      <c r="M1485" s="27" t="str">
        <f t="shared" si="195"/>
        <v/>
      </c>
      <c r="O1485" s="27" t="str">
        <f t="shared" si="196"/>
        <v/>
      </c>
      <c r="Q1485" s="27" t="str">
        <f t="shared" si="197"/>
        <v/>
      </c>
    </row>
    <row r="1486" spans="13:17" x14ac:dyDescent="0.25">
      <c r="M1486" s="27" t="str">
        <f t="shared" si="195"/>
        <v/>
      </c>
      <c r="O1486" s="27" t="str">
        <f t="shared" si="196"/>
        <v/>
      </c>
      <c r="Q1486" s="27" t="str">
        <f t="shared" si="197"/>
        <v/>
      </c>
    </row>
    <row r="1487" spans="13:17" x14ac:dyDescent="0.25">
      <c r="M1487" s="27" t="str">
        <f t="shared" si="195"/>
        <v/>
      </c>
      <c r="O1487" s="27" t="str">
        <f t="shared" si="196"/>
        <v/>
      </c>
      <c r="Q1487" s="27" t="str">
        <f t="shared" si="197"/>
        <v/>
      </c>
    </row>
    <row r="1488" spans="13:17" x14ac:dyDescent="0.25">
      <c r="M1488" s="27" t="str">
        <f t="shared" si="195"/>
        <v/>
      </c>
      <c r="O1488" s="27" t="str">
        <f t="shared" si="196"/>
        <v/>
      </c>
      <c r="Q1488" s="27" t="str">
        <f t="shared" si="197"/>
        <v/>
      </c>
    </row>
    <row r="1489" spans="13:17" x14ac:dyDescent="0.25">
      <c r="M1489" s="27" t="str">
        <f t="shared" si="195"/>
        <v/>
      </c>
      <c r="O1489" s="27" t="str">
        <f t="shared" si="196"/>
        <v/>
      </c>
      <c r="Q1489" s="27" t="str">
        <f t="shared" si="197"/>
        <v/>
      </c>
    </row>
    <row r="1490" spans="13:17" x14ac:dyDescent="0.25">
      <c r="M1490" s="27" t="str">
        <f t="shared" si="195"/>
        <v/>
      </c>
      <c r="O1490" s="27" t="str">
        <f t="shared" si="196"/>
        <v/>
      </c>
      <c r="Q1490" s="27" t="str">
        <f t="shared" si="197"/>
        <v/>
      </c>
    </row>
    <row r="1491" spans="13:17" x14ac:dyDescent="0.25">
      <c r="M1491" s="27" t="str">
        <f t="shared" si="195"/>
        <v/>
      </c>
      <c r="O1491" s="27" t="str">
        <f t="shared" si="196"/>
        <v/>
      </c>
      <c r="Q1491" s="27" t="str">
        <f t="shared" si="197"/>
        <v/>
      </c>
    </row>
    <row r="1492" spans="13:17" x14ac:dyDescent="0.25">
      <c r="M1492" s="27" t="str">
        <f t="shared" si="195"/>
        <v/>
      </c>
      <c r="O1492" s="27" t="str">
        <f t="shared" si="196"/>
        <v/>
      </c>
      <c r="Q1492" s="27" t="str">
        <f t="shared" si="197"/>
        <v/>
      </c>
    </row>
    <row r="1493" spans="13:17" x14ac:dyDescent="0.25">
      <c r="M1493" s="27" t="str">
        <f t="shared" si="195"/>
        <v/>
      </c>
      <c r="O1493" s="27" t="str">
        <f t="shared" si="196"/>
        <v/>
      </c>
      <c r="Q1493" s="27" t="str">
        <f t="shared" si="197"/>
        <v/>
      </c>
    </row>
    <row r="1494" spans="13:17" x14ac:dyDescent="0.25">
      <c r="M1494" s="27" t="str">
        <f t="shared" si="195"/>
        <v/>
      </c>
      <c r="O1494" s="27" t="str">
        <f t="shared" si="196"/>
        <v/>
      </c>
      <c r="Q1494" s="27" t="str">
        <f t="shared" si="197"/>
        <v/>
      </c>
    </row>
    <row r="1495" spans="13:17" x14ac:dyDescent="0.25">
      <c r="M1495" s="27" t="str">
        <f t="shared" si="195"/>
        <v/>
      </c>
      <c r="O1495" s="27" t="str">
        <f t="shared" si="196"/>
        <v/>
      </c>
      <c r="Q1495" s="27" t="str">
        <f t="shared" si="197"/>
        <v/>
      </c>
    </row>
    <row r="1496" spans="13:17" x14ac:dyDescent="0.25">
      <c r="M1496" s="27" t="str">
        <f t="shared" si="195"/>
        <v/>
      </c>
      <c r="O1496" s="27" t="str">
        <f t="shared" si="196"/>
        <v/>
      </c>
      <c r="Q1496" s="27" t="str">
        <f t="shared" si="197"/>
        <v/>
      </c>
    </row>
    <row r="1497" spans="13:17" x14ac:dyDescent="0.25">
      <c r="M1497" s="27" t="str">
        <f t="shared" si="195"/>
        <v/>
      </c>
      <c r="O1497" s="27" t="str">
        <f t="shared" si="196"/>
        <v/>
      </c>
      <c r="Q1497" s="27" t="str">
        <f t="shared" si="197"/>
        <v/>
      </c>
    </row>
    <row r="1498" spans="13:17" x14ac:dyDescent="0.25">
      <c r="M1498" s="27" t="str">
        <f t="shared" si="195"/>
        <v/>
      </c>
      <c r="O1498" s="27" t="str">
        <f t="shared" si="196"/>
        <v/>
      </c>
      <c r="Q1498" s="27" t="str">
        <f t="shared" si="197"/>
        <v/>
      </c>
    </row>
    <row r="1499" spans="13:17" x14ac:dyDescent="0.25">
      <c r="M1499" s="27" t="str">
        <f t="shared" si="195"/>
        <v/>
      </c>
      <c r="O1499" s="27" t="str">
        <f t="shared" si="196"/>
        <v/>
      </c>
      <c r="Q1499" s="27" t="str">
        <f t="shared" si="197"/>
        <v/>
      </c>
    </row>
    <row r="1500" spans="13:17" x14ac:dyDescent="0.25">
      <c r="M1500" s="27" t="str">
        <f t="shared" si="195"/>
        <v/>
      </c>
      <c r="O1500" s="27" t="str">
        <f t="shared" si="196"/>
        <v/>
      </c>
      <c r="Q1500" s="27" t="str">
        <f t="shared" si="197"/>
        <v/>
      </c>
    </row>
    <row r="1501" spans="13:17" x14ac:dyDescent="0.25">
      <c r="M1501" s="27" t="str">
        <f t="shared" si="195"/>
        <v/>
      </c>
      <c r="O1501" s="27" t="str">
        <f t="shared" si="196"/>
        <v/>
      </c>
      <c r="Q1501" s="27" t="str">
        <f t="shared" si="197"/>
        <v/>
      </c>
    </row>
    <row r="1502" spans="13:17" x14ac:dyDescent="0.25">
      <c r="M1502" s="27" t="str">
        <f t="shared" si="195"/>
        <v/>
      </c>
      <c r="O1502" s="27" t="str">
        <f t="shared" si="196"/>
        <v/>
      </c>
      <c r="Q1502" s="27" t="str">
        <f t="shared" si="197"/>
        <v/>
      </c>
    </row>
    <row r="1503" spans="13:17" x14ac:dyDescent="0.25">
      <c r="M1503" s="27" t="str">
        <f t="shared" si="195"/>
        <v/>
      </c>
      <c r="O1503" s="27" t="str">
        <f t="shared" si="196"/>
        <v/>
      </c>
      <c r="Q1503" s="27" t="str">
        <f t="shared" si="197"/>
        <v/>
      </c>
    </row>
    <row r="1504" spans="13:17" x14ac:dyDescent="0.25">
      <c r="M1504" s="27" t="str">
        <f t="shared" si="195"/>
        <v/>
      </c>
      <c r="O1504" s="27" t="str">
        <f t="shared" si="196"/>
        <v/>
      </c>
      <c r="Q1504" s="27" t="str">
        <f t="shared" si="197"/>
        <v/>
      </c>
    </row>
    <row r="1505" spans="13:17" x14ac:dyDescent="0.25">
      <c r="M1505" s="27" t="str">
        <f t="shared" si="195"/>
        <v/>
      </c>
      <c r="O1505" s="27" t="str">
        <f t="shared" si="196"/>
        <v/>
      </c>
      <c r="Q1505" s="27" t="str">
        <f t="shared" si="197"/>
        <v/>
      </c>
    </row>
    <row r="1506" spans="13:17" x14ac:dyDescent="0.25">
      <c r="M1506" s="27" t="str">
        <f t="shared" si="195"/>
        <v/>
      </c>
      <c r="O1506" s="27" t="str">
        <f t="shared" si="196"/>
        <v/>
      </c>
      <c r="Q1506" s="27" t="str">
        <f t="shared" si="197"/>
        <v/>
      </c>
    </row>
    <row r="1507" spans="13:17" x14ac:dyDescent="0.25">
      <c r="M1507" s="27" t="str">
        <f t="shared" si="195"/>
        <v/>
      </c>
      <c r="O1507" s="27" t="str">
        <f t="shared" si="196"/>
        <v/>
      </c>
      <c r="Q1507" s="27" t="str">
        <f t="shared" si="197"/>
        <v/>
      </c>
    </row>
    <row r="1508" spans="13:17" x14ac:dyDescent="0.25">
      <c r="M1508" s="27" t="str">
        <f t="shared" si="195"/>
        <v/>
      </c>
      <c r="O1508" s="27" t="str">
        <f t="shared" si="196"/>
        <v/>
      </c>
      <c r="Q1508" s="27" t="str">
        <f t="shared" si="197"/>
        <v/>
      </c>
    </row>
    <row r="1509" spans="13:17" x14ac:dyDescent="0.25">
      <c r="M1509" s="27" t="str">
        <f t="shared" si="195"/>
        <v/>
      </c>
      <c r="O1509" s="27" t="str">
        <f t="shared" si="196"/>
        <v/>
      </c>
      <c r="Q1509" s="27" t="str">
        <f t="shared" si="197"/>
        <v/>
      </c>
    </row>
    <row r="1510" spans="13:17" x14ac:dyDescent="0.25">
      <c r="M1510" s="27" t="str">
        <f t="shared" si="195"/>
        <v/>
      </c>
      <c r="O1510" s="27" t="str">
        <f t="shared" si="196"/>
        <v/>
      </c>
      <c r="Q1510" s="27" t="str">
        <f t="shared" si="197"/>
        <v/>
      </c>
    </row>
    <row r="1511" spans="13:17" x14ac:dyDescent="0.25">
      <c r="M1511" s="27" t="str">
        <f t="shared" si="195"/>
        <v/>
      </c>
      <c r="O1511" s="27" t="str">
        <f t="shared" si="196"/>
        <v/>
      </c>
      <c r="Q1511" s="27" t="str">
        <f t="shared" si="197"/>
        <v/>
      </c>
    </row>
    <row r="1512" spans="13:17" x14ac:dyDescent="0.25">
      <c r="M1512" s="27" t="str">
        <f t="shared" si="195"/>
        <v/>
      </c>
      <c r="O1512" s="27" t="str">
        <f t="shared" si="196"/>
        <v/>
      </c>
      <c r="Q1512" s="27" t="str">
        <f t="shared" si="197"/>
        <v/>
      </c>
    </row>
    <row r="1513" spans="13:17" x14ac:dyDescent="0.25">
      <c r="M1513" s="27" t="str">
        <f t="shared" si="195"/>
        <v/>
      </c>
      <c r="O1513" s="27" t="str">
        <f t="shared" si="196"/>
        <v/>
      </c>
      <c r="Q1513" s="27" t="str">
        <f t="shared" si="197"/>
        <v/>
      </c>
    </row>
    <row r="1514" spans="13:17" x14ac:dyDescent="0.25">
      <c r="M1514" s="27" t="str">
        <f t="shared" si="195"/>
        <v/>
      </c>
      <c r="O1514" s="27" t="str">
        <f t="shared" si="196"/>
        <v/>
      </c>
      <c r="Q1514" s="27" t="str">
        <f t="shared" si="197"/>
        <v/>
      </c>
    </row>
    <row r="1515" spans="13:17" x14ac:dyDescent="0.25">
      <c r="M1515" s="27" t="str">
        <f t="shared" si="195"/>
        <v/>
      </c>
      <c r="O1515" s="27" t="str">
        <f t="shared" si="196"/>
        <v/>
      </c>
      <c r="Q1515" s="27" t="str">
        <f t="shared" si="197"/>
        <v/>
      </c>
    </row>
    <row r="1516" spans="13:17" x14ac:dyDescent="0.25">
      <c r="M1516" s="27" t="str">
        <f t="shared" si="195"/>
        <v/>
      </c>
      <c r="O1516" s="27" t="str">
        <f t="shared" si="196"/>
        <v/>
      </c>
      <c r="Q1516" s="27" t="str">
        <f t="shared" si="197"/>
        <v/>
      </c>
    </row>
    <row r="1517" spans="13:17" x14ac:dyDescent="0.25">
      <c r="M1517" s="27" t="str">
        <f t="shared" si="195"/>
        <v/>
      </c>
      <c r="O1517" s="27" t="str">
        <f t="shared" si="196"/>
        <v/>
      </c>
      <c r="Q1517" s="27" t="str">
        <f t="shared" si="197"/>
        <v/>
      </c>
    </row>
    <row r="1518" spans="13:17" x14ac:dyDescent="0.25">
      <c r="M1518" s="27" t="str">
        <f t="shared" si="195"/>
        <v/>
      </c>
      <c r="O1518" s="27" t="str">
        <f t="shared" si="196"/>
        <v/>
      </c>
      <c r="Q1518" s="27" t="str">
        <f t="shared" si="197"/>
        <v/>
      </c>
    </row>
    <row r="1519" spans="13:17" x14ac:dyDescent="0.25">
      <c r="M1519" s="27" t="str">
        <f t="shared" si="195"/>
        <v/>
      </c>
      <c r="O1519" s="27" t="str">
        <f t="shared" si="196"/>
        <v/>
      </c>
      <c r="Q1519" s="27" t="str">
        <f t="shared" si="197"/>
        <v/>
      </c>
    </row>
    <row r="1520" spans="13:17" x14ac:dyDescent="0.25">
      <c r="M1520" s="27" t="str">
        <f t="shared" si="195"/>
        <v/>
      </c>
      <c r="O1520" s="27" t="str">
        <f t="shared" si="196"/>
        <v/>
      </c>
      <c r="Q1520" s="27" t="str">
        <f t="shared" si="197"/>
        <v/>
      </c>
    </row>
    <row r="1521" spans="13:17" x14ac:dyDescent="0.25">
      <c r="M1521" s="27" t="str">
        <f t="shared" si="195"/>
        <v/>
      </c>
      <c r="O1521" s="27" t="str">
        <f t="shared" si="196"/>
        <v/>
      </c>
      <c r="Q1521" s="27" t="str">
        <f t="shared" si="197"/>
        <v/>
      </c>
    </row>
    <row r="1522" spans="13:17" x14ac:dyDescent="0.25">
      <c r="M1522" s="27" t="str">
        <f t="shared" si="195"/>
        <v/>
      </c>
      <c r="O1522" s="27" t="str">
        <f t="shared" si="196"/>
        <v/>
      </c>
      <c r="Q1522" s="27" t="str">
        <f t="shared" si="197"/>
        <v/>
      </c>
    </row>
    <row r="1523" spans="13:17" x14ac:dyDescent="0.25">
      <c r="M1523" s="27" t="str">
        <f t="shared" si="195"/>
        <v/>
      </c>
      <c r="O1523" s="27" t="str">
        <f t="shared" si="196"/>
        <v/>
      </c>
      <c r="Q1523" s="27" t="str">
        <f t="shared" si="197"/>
        <v/>
      </c>
    </row>
    <row r="1524" spans="13:17" x14ac:dyDescent="0.25">
      <c r="M1524" s="27" t="str">
        <f t="shared" si="195"/>
        <v/>
      </c>
      <c r="O1524" s="27" t="str">
        <f t="shared" si="196"/>
        <v/>
      </c>
      <c r="Q1524" s="27" t="str">
        <f t="shared" si="197"/>
        <v/>
      </c>
    </row>
    <row r="1525" spans="13:17" x14ac:dyDescent="0.25">
      <c r="M1525" s="27" t="str">
        <f t="shared" si="195"/>
        <v/>
      </c>
      <c r="O1525" s="27" t="str">
        <f t="shared" si="196"/>
        <v/>
      </c>
      <c r="Q1525" s="27" t="str">
        <f t="shared" si="197"/>
        <v/>
      </c>
    </row>
    <row r="1526" spans="13:17" x14ac:dyDescent="0.25">
      <c r="M1526" s="27" t="str">
        <f t="shared" si="195"/>
        <v/>
      </c>
      <c r="O1526" s="27" t="str">
        <f t="shared" si="196"/>
        <v/>
      </c>
      <c r="Q1526" s="27" t="str">
        <f t="shared" si="197"/>
        <v/>
      </c>
    </row>
    <row r="1527" spans="13:17" x14ac:dyDescent="0.25">
      <c r="M1527" s="27" t="str">
        <f t="shared" si="195"/>
        <v/>
      </c>
      <c r="O1527" s="27" t="str">
        <f t="shared" si="196"/>
        <v/>
      </c>
      <c r="Q1527" s="27" t="str">
        <f t="shared" si="197"/>
        <v/>
      </c>
    </row>
    <row r="1528" spans="13:17" x14ac:dyDescent="0.25">
      <c r="M1528" s="27" t="str">
        <f t="shared" si="195"/>
        <v/>
      </c>
      <c r="O1528" s="27" t="str">
        <f t="shared" si="196"/>
        <v/>
      </c>
      <c r="Q1528" s="27" t="str">
        <f t="shared" si="197"/>
        <v/>
      </c>
    </row>
    <row r="1529" spans="13:17" x14ac:dyDescent="0.25">
      <c r="M1529" s="27" t="str">
        <f t="shared" si="195"/>
        <v/>
      </c>
      <c r="O1529" s="27" t="str">
        <f t="shared" si="196"/>
        <v/>
      </c>
      <c r="Q1529" s="27" t="str">
        <f t="shared" si="197"/>
        <v/>
      </c>
    </row>
    <row r="1530" spans="13:17" x14ac:dyDescent="0.25">
      <c r="M1530" s="27" t="str">
        <f t="shared" ref="M1530:M1593" si="198">IF(L1530="","",VLOOKUP(L1530,$Y$4:$Z$15,2,TRUE))</f>
        <v/>
      </c>
      <c r="O1530" s="27" t="str">
        <f t="shared" ref="O1530:O1593" si="199">IF(N1530="","",VLOOKUP(N1530,$Y$4:$Z$15,2,TRUE))</f>
        <v/>
      </c>
      <c r="Q1530" s="27" t="str">
        <f t="shared" si="197"/>
        <v/>
      </c>
    </row>
    <row r="1531" spans="13:17" x14ac:dyDescent="0.25">
      <c r="M1531" s="27" t="str">
        <f t="shared" si="198"/>
        <v/>
      </c>
      <c r="O1531" s="27" t="str">
        <f t="shared" si="199"/>
        <v/>
      </c>
      <c r="Q1531" s="27" t="str">
        <f t="shared" si="197"/>
        <v/>
      </c>
    </row>
    <row r="1532" spans="13:17" x14ac:dyDescent="0.25">
      <c r="M1532" s="27" t="str">
        <f t="shared" si="198"/>
        <v/>
      </c>
      <c r="O1532" s="27" t="str">
        <f t="shared" si="199"/>
        <v/>
      </c>
      <c r="Q1532" s="27" t="str">
        <f t="shared" si="197"/>
        <v/>
      </c>
    </row>
    <row r="1533" spans="13:17" x14ac:dyDescent="0.25">
      <c r="M1533" s="27" t="str">
        <f t="shared" si="198"/>
        <v/>
      </c>
      <c r="O1533" s="27" t="str">
        <f t="shared" si="199"/>
        <v/>
      </c>
      <c r="Q1533" s="27" t="str">
        <f t="shared" si="197"/>
        <v/>
      </c>
    </row>
    <row r="1534" spans="13:17" x14ac:dyDescent="0.25">
      <c r="M1534" s="27" t="str">
        <f t="shared" si="198"/>
        <v/>
      </c>
      <c r="O1534" s="27" t="str">
        <f t="shared" si="199"/>
        <v/>
      </c>
      <c r="Q1534" s="27" t="str">
        <f t="shared" si="197"/>
        <v/>
      </c>
    </row>
    <row r="1535" spans="13:17" x14ac:dyDescent="0.25">
      <c r="M1535" s="27" t="str">
        <f t="shared" si="198"/>
        <v/>
      </c>
      <c r="O1535" s="27" t="str">
        <f t="shared" si="199"/>
        <v/>
      </c>
      <c r="Q1535" s="27" t="str">
        <f t="shared" si="197"/>
        <v/>
      </c>
    </row>
    <row r="1536" spans="13:17" x14ac:dyDescent="0.25">
      <c r="M1536" s="27" t="str">
        <f t="shared" si="198"/>
        <v/>
      </c>
      <c r="O1536" s="27" t="str">
        <f t="shared" si="199"/>
        <v/>
      </c>
      <c r="Q1536" s="27" t="str">
        <f t="shared" si="197"/>
        <v/>
      </c>
    </row>
    <row r="1537" spans="13:17" x14ac:dyDescent="0.25">
      <c r="M1537" s="27" t="str">
        <f t="shared" si="198"/>
        <v/>
      </c>
      <c r="O1537" s="27" t="str">
        <f t="shared" si="199"/>
        <v/>
      </c>
      <c r="Q1537" s="27" t="str">
        <f t="shared" si="197"/>
        <v/>
      </c>
    </row>
    <row r="1538" spans="13:17" x14ac:dyDescent="0.25">
      <c r="M1538" s="27" t="str">
        <f t="shared" si="198"/>
        <v/>
      </c>
      <c r="O1538" s="27" t="str">
        <f t="shared" si="199"/>
        <v/>
      </c>
      <c r="Q1538" s="27" t="str">
        <f t="shared" si="197"/>
        <v/>
      </c>
    </row>
    <row r="1539" spans="13:17" x14ac:dyDescent="0.25">
      <c r="M1539" s="27" t="str">
        <f t="shared" si="198"/>
        <v/>
      </c>
      <c r="O1539" s="27" t="str">
        <f t="shared" si="199"/>
        <v/>
      </c>
      <c r="Q1539" s="27" t="str">
        <f t="shared" ref="Q1539:Q1602" si="200">IF(P1539="","",P1539/500*12)</f>
        <v/>
      </c>
    </row>
    <row r="1540" spans="13:17" x14ac:dyDescent="0.25">
      <c r="M1540" s="27" t="str">
        <f t="shared" si="198"/>
        <v/>
      </c>
      <c r="O1540" s="27" t="str">
        <f t="shared" si="199"/>
        <v/>
      </c>
      <c r="Q1540" s="27" t="str">
        <f t="shared" si="200"/>
        <v/>
      </c>
    </row>
    <row r="1541" spans="13:17" x14ac:dyDescent="0.25">
      <c r="M1541" s="27" t="str">
        <f t="shared" si="198"/>
        <v/>
      </c>
      <c r="O1541" s="27" t="str">
        <f t="shared" si="199"/>
        <v/>
      </c>
      <c r="Q1541" s="27" t="str">
        <f t="shared" si="200"/>
        <v/>
      </c>
    </row>
    <row r="1542" spans="13:17" x14ac:dyDescent="0.25">
      <c r="M1542" s="27" t="str">
        <f t="shared" si="198"/>
        <v/>
      </c>
      <c r="O1542" s="27" t="str">
        <f t="shared" si="199"/>
        <v/>
      </c>
      <c r="Q1542" s="27" t="str">
        <f t="shared" si="200"/>
        <v/>
      </c>
    </row>
    <row r="1543" spans="13:17" x14ac:dyDescent="0.25">
      <c r="M1543" s="27" t="str">
        <f t="shared" si="198"/>
        <v/>
      </c>
      <c r="O1543" s="27" t="str">
        <f t="shared" si="199"/>
        <v/>
      </c>
      <c r="Q1543" s="27" t="str">
        <f t="shared" si="200"/>
        <v/>
      </c>
    </row>
    <row r="1544" spans="13:17" x14ac:dyDescent="0.25">
      <c r="M1544" s="27" t="str">
        <f t="shared" si="198"/>
        <v/>
      </c>
      <c r="O1544" s="27" t="str">
        <f t="shared" si="199"/>
        <v/>
      </c>
      <c r="Q1544" s="27" t="str">
        <f t="shared" si="200"/>
        <v/>
      </c>
    </row>
    <row r="1545" spans="13:17" x14ac:dyDescent="0.25">
      <c r="M1545" s="27" t="str">
        <f t="shared" si="198"/>
        <v/>
      </c>
      <c r="O1545" s="27" t="str">
        <f t="shared" si="199"/>
        <v/>
      </c>
      <c r="Q1545" s="27" t="str">
        <f t="shared" si="200"/>
        <v/>
      </c>
    </row>
    <row r="1546" spans="13:17" x14ac:dyDescent="0.25">
      <c r="M1546" s="27" t="str">
        <f t="shared" si="198"/>
        <v/>
      </c>
      <c r="O1546" s="27" t="str">
        <f t="shared" si="199"/>
        <v/>
      </c>
      <c r="Q1546" s="27" t="str">
        <f t="shared" si="200"/>
        <v/>
      </c>
    </row>
    <row r="1547" spans="13:17" x14ac:dyDescent="0.25">
      <c r="M1547" s="27" t="str">
        <f t="shared" si="198"/>
        <v/>
      </c>
      <c r="O1547" s="27" t="str">
        <f t="shared" si="199"/>
        <v/>
      </c>
      <c r="Q1547" s="27" t="str">
        <f t="shared" si="200"/>
        <v/>
      </c>
    </row>
    <row r="1548" spans="13:17" x14ac:dyDescent="0.25">
      <c r="M1548" s="27" t="str">
        <f t="shared" si="198"/>
        <v/>
      </c>
      <c r="O1548" s="27" t="str">
        <f t="shared" si="199"/>
        <v/>
      </c>
      <c r="Q1548" s="27" t="str">
        <f t="shared" si="200"/>
        <v/>
      </c>
    </row>
    <row r="1549" spans="13:17" x14ac:dyDescent="0.25">
      <c r="M1549" s="27" t="str">
        <f t="shared" si="198"/>
        <v/>
      </c>
      <c r="O1549" s="27" t="str">
        <f t="shared" si="199"/>
        <v/>
      </c>
      <c r="Q1549" s="27" t="str">
        <f t="shared" si="200"/>
        <v/>
      </c>
    </row>
    <row r="1550" spans="13:17" x14ac:dyDescent="0.25">
      <c r="M1550" s="27" t="str">
        <f t="shared" si="198"/>
        <v/>
      </c>
      <c r="O1550" s="27" t="str">
        <f t="shared" si="199"/>
        <v/>
      </c>
      <c r="Q1550" s="27" t="str">
        <f t="shared" si="200"/>
        <v/>
      </c>
    </row>
    <row r="1551" spans="13:17" x14ac:dyDescent="0.25">
      <c r="M1551" s="27" t="str">
        <f t="shared" si="198"/>
        <v/>
      </c>
      <c r="O1551" s="27" t="str">
        <f t="shared" si="199"/>
        <v/>
      </c>
      <c r="Q1551" s="27" t="str">
        <f t="shared" si="200"/>
        <v/>
      </c>
    </row>
    <row r="1552" spans="13:17" x14ac:dyDescent="0.25">
      <c r="M1552" s="27" t="str">
        <f t="shared" si="198"/>
        <v/>
      </c>
      <c r="O1552" s="27" t="str">
        <f t="shared" si="199"/>
        <v/>
      </c>
      <c r="Q1552" s="27" t="str">
        <f t="shared" si="200"/>
        <v/>
      </c>
    </row>
    <row r="1553" spans="13:17" x14ac:dyDescent="0.25">
      <c r="M1553" s="27" t="str">
        <f t="shared" si="198"/>
        <v/>
      </c>
      <c r="O1553" s="27" t="str">
        <f t="shared" si="199"/>
        <v/>
      </c>
      <c r="Q1553" s="27" t="str">
        <f t="shared" si="200"/>
        <v/>
      </c>
    </row>
    <row r="1554" spans="13:17" x14ac:dyDescent="0.25">
      <c r="M1554" s="27" t="str">
        <f t="shared" si="198"/>
        <v/>
      </c>
      <c r="O1554" s="27" t="str">
        <f t="shared" si="199"/>
        <v/>
      </c>
      <c r="Q1554" s="27" t="str">
        <f t="shared" si="200"/>
        <v/>
      </c>
    </row>
    <row r="1555" spans="13:17" x14ac:dyDescent="0.25">
      <c r="M1555" s="27" t="str">
        <f t="shared" si="198"/>
        <v/>
      </c>
      <c r="O1555" s="27" t="str">
        <f t="shared" si="199"/>
        <v/>
      </c>
      <c r="Q1555" s="27" t="str">
        <f t="shared" si="200"/>
        <v/>
      </c>
    </row>
    <row r="1556" spans="13:17" x14ac:dyDescent="0.25">
      <c r="M1556" s="27" t="str">
        <f t="shared" si="198"/>
        <v/>
      </c>
      <c r="O1556" s="27" t="str">
        <f t="shared" si="199"/>
        <v/>
      </c>
      <c r="Q1556" s="27" t="str">
        <f t="shared" si="200"/>
        <v/>
      </c>
    </row>
    <row r="1557" spans="13:17" x14ac:dyDescent="0.25">
      <c r="M1557" s="27" t="str">
        <f t="shared" si="198"/>
        <v/>
      </c>
      <c r="O1557" s="27" t="str">
        <f t="shared" si="199"/>
        <v/>
      </c>
      <c r="Q1557" s="27" t="str">
        <f t="shared" si="200"/>
        <v/>
      </c>
    </row>
    <row r="1558" spans="13:17" x14ac:dyDescent="0.25">
      <c r="M1558" s="27" t="str">
        <f t="shared" si="198"/>
        <v/>
      </c>
      <c r="O1558" s="27" t="str">
        <f t="shared" si="199"/>
        <v/>
      </c>
      <c r="Q1558" s="27" t="str">
        <f t="shared" si="200"/>
        <v/>
      </c>
    </row>
    <row r="1559" spans="13:17" x14ac:dyDescent="0.25">
      <c r="M1559" s="27" t="str">
        <f t="shared" si="198"/>
        <v/>
      </c>
      <c r="O1559" s="27" t="str">
        <f t="shared" si="199"/>
        <v/>
      </c>
      <c r="Q1559" s="27" t="str">
        <f t="shared" si="200"/>
        <v/>
      </c>
    </row>
    <row r="1560" spans="13:17" x14ac:dyDescent="0.25">
      <c r="M1560" s="27" t="str">
        <f t="shared" si="198"/>
        <v/>
      </c>
      <c r="O1560" s="27" t="str">
        <f t="shared" si="199"/>
        <v/>
      </c>
      <c r="Q1560" s="27" t="str">
        <f t="shared" si="200"/>
        <v/>
      </c>
    </row>
    <row r="1561" spans="13:17" x14ac:dyDescent="0.25">
      <c r="M1561" s="27" t="str">
        <f t="shared" si="198"/>
        <v/>
      </c>
      <c r="O1561" s="27" t="str">
        <f t="shared" si="199"/>
        <v/>
      </c>
      <c r="Q1561" s="27" t="str">
        <f t="shared" si="200"/>
        <v/>
      </c>
    </row>
    <row r="1562" spans="13:17" x14ac:dyDescent="0.25">
      <c r="M1562" s="27" t="str">
        <f t="shared" si="198"/>
        <v/>
      </c>
      <c r="O1562" s="27" t="str">
        <f t="shared" si="199"/>
        <v/>
      </c>
      <c r="Q1562" s="27" t="str">
        <f t="shared" si="200"/>
        <v/>
      </c>
    </row>
    <row r="1563" spans="13:17" x14ac:dyDescent="0.25">
      <c r="M1563" s="27" t="str">
        <f t="shared" si="198"/>
        <v/>
      </c>
      <c r="O1563" s="27" t="str">
        <f t="shared" si="199"/>
        <v/>
      </c>
      <c r="Q1563" s="27" t="str">
        <f t="shared" si="200"/>
        <v/>
      </c>
    </row>
    <row r="1564" spans="13:17" x14ac:dyDescent="0.25">
      <c r="M1564" s="27" t="str">
        <f t="shared" si="198"/>
        <v/>
      </c>
      <c r="O1564" s="27" t="str">
        <f t="shared" si="199"/>
        <v/>
      </c>
      <c r="Q1564" s="27" t="str">
        <f t="shared" si="200"/>
        <v/>
      </c>
    </row>
    <row r="1565" spans="13:17" x14ac:dyDescent="0.25">
      <c r="M1565" s="27" t="str">
        <f t="shared" si="198"/>
        <v/>
      </c>
      <c r="O1565" s="27" t="str">
        <f t="shared" si="199"/>
        <v/>
      </c>
      <c r="Q1565" s="27" t="str">
        <f t="shared" si="200"/>
        <v/>
      </c>
    </row>
    <row r="1566" spans="13:17" x14ac:dyDescent="0.25">
      <c r="M1566" s="27" t="str">
        <f t="shared" si="198"/>
        <v/>
      </c>
      <c r="O1566" s="27" t="str">
        <f t="shared" si="199"/>
        <v/>
      </c>
      <c r="Q1566" s="27" t="str">
        <f t="shared" si="200"/>
        <v/>
      </c>
    </row>
    <row r="1567" spans="13:17" x14ac:dyDescent="0.25">
      <c r="M1567" s="27" t="str">
        <f t="shared" si="198"/>
        <v/>
      </c>
      <c r="O1567" s="27" t="str">
        <f t="shared" si="199"/>
        <v/>
      </c>
      <c r="Q1567" s="27" t="str">
        <f t="shared" si="200"/>
        <v/>
      </c>
    </row>
    <row r="1568" spans="13:17" x14ac:dyDescent="0.25">
      <c r="M1568" s="27" t="str">
        <f t="shared" si="198"/>
        <v/>
      </c>
      <c r="O1568" s="27" t="str">
        <f t="shared" si="199"/>
        <v/>
      </c>
      <c r="Q1568" s="27" t="str">
        <f t="shared" si="200"/>
        <v/>
      </c>
    </row>
    <row r="1569" spans="13:17" x14ac:dyDescent="0.25">
      <c r="M1569" s="27" t="str">
        <f t="shared" si="198"/>
        <v/>
      </c>
      <c r="O1569" s="27" t="str">
        <f t="shared" si="199"/>
        <v/>
      </c>
      <c r="Q1569" s="27" t="str">
        <f t="shared" si="200"/>
        <v/>
      </c>
    </row>
    <row r="1570" spans="13:17" x14ac:dyDescent="0.25">
      <c r="M1570" s="27" t="str">
        <f t="shared" si="198"/>
        <v/>
      </c>
      <c r="O1570" s="27" t="str">
        <f t="shared" si="199"/>
        <v/>
      </c>
      <c r="Q1570" s="27" t="str">
        <f t="shared" si="200"/>
        <v/>
      </c>
    </row>
    <row r="1571" spans="13:17" x14ac:dyDescent="0.25">
      <c r="M1571" s="27" t="str">
        <f t="shared" si="198"/>
        <v/>
      </c>
      <c r="O1571" s="27" t="str">
        <f t="shared" si="199"/>
        <v/>
      </c>
      <c r="Q1571" s="27" t="str">
        <f t="shared" si="200"/>
        <v/>
      </c>
    </row>
    <row r="1572" spans="13:17" x14ac:dyDescent="0.25">
      <c r="M1572" s="27" t="str">
        <f t="shared" si="198"/>
        <v/>
      </c>
      <c r="O1572" s="27" t="str">
        <f t="shared" si="199"/>
        <v/>
      </c>
      <c r="Q1572" s="27" t="str">
        <f t="shared" si="200"/>
        <v/>
      </c>
    </row>
    <row r="1573" spans="13:17" x14ac:dyDescent="0.25">
      <c r="M1573" s="27" t="str">
        <f t="shared" si="198"/>
        <v/>
      </c>
      <c r="O1573" s="27" t="str">
        <f t="shared" si="199"/>
        <v/>
      </c>
      <c r="Q1573" s="27" t="str">
        <f t="shared" si="200"/>
        <v/>
      </c>
    </row>
    <row r="1574" spans="13:17" x14ac:dyDescent="0.25">
      <c r="M1574" s="27" t="str">
        <f t="shared" si="198"/>
        <v/>
      </c>
      <c r="O1574" s="27" t="str">
        <f t="shared" si="199"/>
        <v/>
      </c>
      <c r="Q1574" s="27" t="str">
        <f t="shared" si="200"/>
        <v/>
      </c>
    </row>
    <row r="1575" spans="13:17" x14ac:dyDescent="0.25">
      <c r="M1575" s="27" t="str">
        <f t="shared" si="198"/>
        <v/>
      </c>
      <c r="O1575" s="27" t="str">
        <f t="shared" si="199"/>
        <v/>
      </c>
      <c r="Q1575" s="27" t="str">
        <f t="shared" si="200"/>
        <v/>
      </c>
    </row>
    <row r="1576" spans="13:17" x14ac:dyDescent="0.25">
      <c r="M1576" s="27" t="str">
        <f t="shared" si="198"/>
        <v/>
      </c>
      <c r="O1576" s="27" t="str">
        <f t="shared" si="199"/>
        <v/>
      </c>
      <c r="Q1576" s="27" t="str">
        <f t="shared" si="200"/>
        <v/>
      </c>
    </row>
    <row r="1577" spans="13:17" x14ac:dyDescent="0.25">
      <c r="M1577" s="27" t="str">
        <f t="shared" si="198"/>
        <v/>
      </c>
      <c r="O1577" s="27" t="str">
        <f t="shared" si="199"/>
        <v/>
      </c>
      <c r="Q1577" s="27" t="str">
        <f t="shared" si="200"/>
        <v/>
      </c>
    </row>
    <row r="1578" spans="13:17" x14ac:dyDescent="0.25">
      <c r="M1578" s="27" t="str">
        <f t="shared" si="198"/>
        <v/>
      </c>
      <c r="O1578" s="27" t="str">
        <f t="shared" si="199"/>
        <v/>
      </c>
      <c r="Q1578" s="27" t="str">
        <f t="shared" si="200"/>
        <v/>
      </c>
    </row>
    <row r="1579" spans="13:17" x14ac:dyDescent="0.25">
      <c r="M1579" s="27" t="str">
        <f t="shared" si="198"/>
        <v/>
      </c>
      <c r="O1579" s="27" t="str">
        <f t="shared" si="199"/>
        <v/>
      </c>
      <c r="Q1579" s="27" t="str">
        <f t="shared" si="200"/>
        <v/>
      </c>
    </row>
    <row r="1580" spans="13:17" x14ac:dyDescent="0.25">
      <c r="M1580" s="27" t="str">
        <f t="shared" si="198"/>
        <v/>
      </c>
      <c r="O1580" s="27" t="str">
        <f t="shared" si="199"/>
        <v/>
      </c>
      <c r="Q1580" s="27" t="str">
        <f t="shared" si="200"/>
        <v/>
      </c>
    </row>
    <row r="1581" spans="13:17" x14ac:dyDescent="0.25">
      <c r="M1581" s="27" t="str">
        <f t="shared" si="198"/>
        <v/>
      </c>
      <c r="O1581" s="27" t="str">
        <f t="shared" si="199"/>
        <v/>
      </c>
      <c r="Q1581" s="27" t="str">
        <f t="shared" si="200"/>
        <v/>
      </c>
    </row>
    <row r="1582" spans="13:17" x14ac:dyDescent="0.25">
      <c r="M1582" s="27" t="str">
        <f t="shared" si="198"/>
        <v/>
      </c>
      <c r="O1582" s="27" t="str">
        <f t="shared" si="199"/>
        <v/>
      </c>
      <c r="Q1582" s="27" t="str">
        <f t="shared" si="200"/>
        <v/>
      </c>
    </row>
    <row r="1583" spans="13:17" x14ac:dyDescent="0.25">
      <c r="M1583" s="27" t="str">
        <f t="shared" si="198"/>
        <v/>
      </c>
      <c r="O1583" s="27" t="str">
        <f t="shared" si="199"/>
        <v/>
      </c>
      <c r="Q1583" s="27" t="str">
        <f t="shared" si="200"/>
        <v/>
      </c>
    </row>
    <row r="1584" spans="13:17" x14ac:dyDescent="0.25">
      <c r="M1584" s="27" t="str">
        <f t="shared" si="198"/>
        <v/>
      </c>
      <c r="O1584" s="27" t="str">
        <f t="shared" si="199"/>
        <v/>
      </c>
      <c r="Q1584" s="27" t="str">
        <f t="shared" si="200"/>
        <v/>
      </c>
    </row>
    <row r="1585" spans="13:17" x14ac:dyDescent="0.25">
      <c r="M1585" s="27" t="str">
        <f t="shared" si="198"/>
        <v/>
      </c>
      <c r="O1585" s="27" t="str">
        <f t="shared" si="199"/>
        <v/>
      </c>
      <c r="Q1585" s="27" t="str">
        <f t="shared" si="200"/>
        <v/>
      </c>
    </row>
    <row r="1586" spans="13:17" x14ac:dyDescent="0.25">
      <c r="M1586" s="27" t="str">
        <f t="shared" si="198"/>
        <v/>
      </c>
      <c r="O1586" s="27" t="str">
        <f t="shared" si="199"/>
        <v/>
      </c>
      <c r="Q1586" s="27" t="str">
        <f t="shared" si="200"/>
        <v/>
      </c>
    </row>
    <row r="1587" spans="13:17" x14ac:dyDescent="0.25">
      <c r="M1587" s="27" t="str">
        <f t="shared" si="198"/>
        <v/>
      </c>
      <c r="O1587" s="27" t="str">
        <f t="shared" si="199"/>
        <v/>
      </c>
      <c r="Q1587" s="27" t="str">
        <f t="shared" si="200"/>
        <v/>
      </c>
    </row>
    <row r="1588" spans="13:17" x14ac:dyDescent="0.25">
      <c r="M1588" s="27" t="str">
        <f t="shared" si="198"/>
        <v/>
      </c>
      <c r="O1588" s="27" t="str">
        <f t="shared" si="199"/>
        <v/>
      </c>
      <c r="Q1588" s="27" t="str">
        <f t="shared" si="200"/>
        <v/>
      </c>
    </row>
    <row r="1589" spans="13:17" x14ac:dyDescent="0.25">
      <c r="M1589" s="27" t="str">
        <f t="shared" si="198"/>
        <v/>
      </c>
      <c r="O1589" s="27" t="str">
        <f t="shared" si="199"/>
        <v/>
      </c>
      <c r="Q1589" s="27" t="str">
        <f t="shared" si="200"/>
        <v/>
      </c>
    </row>
    <row r="1590" spans="13:17" x14ac:dyDescent="0.25">
      <c r="M1590" s="27" t="str">
        <f t="shared" si="198"/>
        <v/>
      </c>
      <c r="O1590" s="27" t="str">
        <f t="shared" si="199"/>
        <v/>
      </c>
      <c r="Q1590" s="27" t="str">
        <f t="shared" si="200"/>
        <v/>
      </c>
    </row>
    <row r="1591" spans="13:17" x14ac:dyDescent="0.25">
      <c r="M1591" s="27" t="str">
        <f t="shared" si="198"/>
        <v/>
      </c>
      <c r="O1591" s="27" t="str">
        <f t="shared" si="199"/>
        <v/>
      </c>
      <c r="Q1591" s="27" t="str">
        <f t="shared" si="200"/>
        <v/>
      </c>
    </row>
    <row r="1592" spans="13:17" x14ac:dyDescent="0.25">
      <c r="M1592" s="27" t="str">
        <f t="shared" si="198"/>
        <v/>
      </c>
      <c r="O1592" s="27" t="str">
        <f t="shared" si="199"/>
        <v/>
      </c>
      <c r="Q1592" s="27" t="str">
        <f t="shared" si="200"/>
        <v/>
      </c>
    </row>
    <row r="1593" spans="13:17" x14ac:dyDescent="0.25">
      <c r="M1593" s="27" t="str">
        <f t="shared" si="198"/>
        <v/>
      </c>
      <c r="O1593" s="27" t="str">
        <f t="shared" si="199"/>
        <v/>
      </c>
      <c r="Q1593" s="27" t="str">
        <f t="shared" si="200"/>
        <v/>
      </c>
    </row>
    <row r="1594" spans="13:17" x14ac:dyDescent="0.25">
      <c r="M1594" s="27" t="str">
        <f t="shared" ref="M1594:M1657" si="201">IF(L1594="","",VLOOKUP(L1594,$Y$4:$Z$15,2,TRUE))</f>
        <v/>
      </c>
      <c r="O1594" s="27" t="str">
        <f t="shared" ref="O1594:O1657" si="202">IF(N1594="","",VLOOKUP(N1594,$Y$4:$Z$15,2,TRUE))</f>
        <v/>
      </c>
      <c r="Q1594" s="27" t="str">
        <f t="shared" si="200"/>
        <v/>
      </c>
    </row>
    <row r="1595" spans="13:17" x14ac:dyDescent="0.25">
      <c r="M1595" s="27" t="str">
        <f t="shared" si="201"/>
        <v/>
      </c>
      <c r="O1595" s="27" t="str">
        <f t="shared" si="202"/>
        <v/>
      </c>
      <c r="Q1595" s="27" t="str">
        <f t="shared" si="200"/>
        <v/>
      </c>
    </row>
    <row r="1596" spans="13:17" x14ac:dyDescent="0.25">
      <c r="M1596" s="27" t="str">
        <f t="shared" si="201"/>
        <v/>
      </c>
      <c r="O1596" s="27" t="str">
        <f t="shared" si="202"/>
        <v/>
      </c>
      <c r="Q1596" s="27" t="str">
        <f t="shared" si="200"/>
        <v/>
      </c>
    </row>
    <row r="1597" spans="13:17" x14ac:dyDescent="0.25">
      <c r="M1597" s="27" t="str">
        <f t="shared" si="201"/>
        <v/>
      </c>
      <c r="O1597" s="27" t="str">
        <f t="shared" si="202"/>
        <v/>
      </c>
      <c r="Q1597" s="27" t="str">
        <f t="shared" si="200"/>
        <v/>
      </c>
    </row>
    <row r="1598" spans="13:17" x14ac:dyDescent="0.25">
      <c r="M1598" s="27" t="str">
        <f t="shared" si="201"/>
        <v/>
      </c>
      <c r="O1598" s="27" t="str">
        <f t="shared" si="202"/>
        <v/>
      </c>
      <c r="Q1598" s="27" t="str">
        <f t="shared" si="200"/>
        <v/>
      </c>
    </row>
    <row r="1599" spans="13:17" x14ac:dyDescent="0.25">
      <c r="M1599" s="27" t="str">
        <f t="shared" si="201"/>
        <v/>
      </c>
      <c r="O1599" s="27" t="str">
        <f t="shared" si="202"/>
        <v/>
      </c>
      <c r="Q1599" s="27" t="str">
        <f t="shared" si="200"/>
        <v/>
      </c>
    </row>
    <row r="1600" spans="13:17" x14ac:dyDescent="0.25">
      <c r="M1600" s="27" t="str">
        <f t="shared" si="201"/>
        <v/>
      </c>
      <c r="O1600" s="27" t="str">
        <f t="shared" si="202"/>
        <v/>
      </c>
      <c r="Q1600" s="27" t="str">
        <f t="shared" si="200"/>
        <v/>
      </c>
    </row>
    <row r="1601" spans="13:17" x14ac:dyDescent="0.25">
      <c r="M1601" s="27" t="str">
        <f t="shared" si="201"/>
        <v/>
      </c>
      <c r="O1601" s="27" t="str">
        <f t="shared" si="202"/>
        <v/>
      </c>
      <c r="Q1601" s="27" t="str">
        <f t="shared" si="200"/>
        <v/>
      </c>
    </row>
    <row r="1602" spans="13:17" x14ac:dyDescent="0.25">
      <c r="M1602" s="27" t="str">
        <f t="shared" si="201"/>
        <v/>
      </c>
      <c r="O1602" s="27" t="str">
        <f t="shared" si="202"/>
        <v/>
      </c>
      <c r="Q1602" s="27" t="str">
        <f t="shared" si="200"/>
        <v/>
      </c>
    </row>
    <row r="1603" spans="13:17" x14ac:dyDescent="0.25">
      <c r="M1603" s="27" t="str">
        <f t="shared" si="201"/>
        <v/>
      </c>
      <c r="O1603" s="27" t="str">
        <f t="shared" si="202"/>
        <v/>
      </c>
      <c r="Q1603" s="27" t="str">
        <f t="shared" ref="Q1603:Q1634" si="203">IF(P1603="","",P1603/500*12)</f>
        <v/>
      </c>
    </row>
    <row r="1604" spans="13:17" x14ac:dyDescent="0.25">
      <c r="M1604" s="27" t="str">
        <f t="shared" si="201"/>
        <v/>
      </c>
      <c r="O1604" s="27" t="str">
        <f t="shared" si="202"/>
        <v/>
      </c>
      <c r="Q1604" s="27" t="str">
        <f t="shared" si="203"/>
        <v/>
      </c>
    </row>
    <row r="1605" spans="13:17" x14ac:dyDescent="0.25">
      <c r="M1605" s="27" t="str">
        <f t="shared" si="201"/>
        <v/>
      </c>
      <c r="O1605" s="27" t="str">
        <f t="shared" si="202"/>
        <v/>
      </c>
      <c r="Q1605" s="27" t="str">
        <f t="shared" si="203"/>
        <v/>
      </c>
    </row>
    <row r="1606" spans="13:17" x14ac:dyDescent="0.25">
      <c r="M1606" s="27" t="str">
        <f t="shared" si="201"/>
        <v/>
      </c>
      <c r="O1606" s="27" t="str">
        <f t="shared" si="202"/>
        <v/>
      </c>
      <c r="Q1606" s="27" t="str">
        <f t="shared" si="203"/>
        <v/>
      </c>
    </row>
    <row r="1607" spans="13:17" x14ac:dyDescent="0.25">
      <c r="M1607" s="27" t="str">
        <f t="shared" si="201"/>
        <v/>
      </c>
      <c r="O1607" s="27" t="str">
        <f t="shared" si="202"/>
        <v/>
      </c>
      <c r="Q1607" s="27" t="str">
        <f t="shared" si="203"/>
        <v/>
      </c>
    </row>
    <row r="1608" spans="13:17" x14ac:dyDescent="0.25">
      <c r="M1608" s="27" t="str">
        <f t="shared" si="201"/>
        <v/>
      </c>
      <c r="O1608" s="27" t="str">
        <f t="shared" si="202"/>
        <v/>
      </c>
      <c r="Q1608" s="27" t="str">
        <f t="shared" si="203"/>
        <v/>
      </c>
    </row>
    <row r="1609" spans="13:17" x14ac:dyDescent="0.25">
      <c r="M1609" s="27" t="str">
        <f t="shared" si="201"/>
        <v/>
      </c>
      <c r="O1609" s="27" t="str">
        <f t="shared" si="202"/>
        <v/>
      </c>
      <c r="Q1609" s="27" t="str">
        <f t="shared" si="203"/>
        <v/>
      </c>
    </row>
    <row r="1610" spans="13:17" x14ac:dyDescent="0.25">
      <c r="M1610" s="27" t="str">
        <f t="shared" si="201"/>
        <v/>
      </c>
      <c r="O1610" s="27" t="str">
        <f t="shared" si="202"/>
        <v/>
      </c>
      <c r="Q1610" s="27" t="str">
        <f t="shared" si="203"/>
        <v/>
      </c>
    </row>
    <row r="1611" spans="13:17" x14ac:dyDescent="0.25">
      <c r="M1611" s="27" t="str">
        <f t="shared" si="201"/>
        <v/>
      </c>
      <c r="O1611" s="27" t="str">
        <f t="shared" si="202"/>
        <v/>
      </c>
      <c r="Q1611" s="27" t="str">
        <f t="shared" si="203"/>
        <v/>
      </c>
    </row>
    <row r="1612" spans="13:17" x14ac:dyDescent="0.25">
      <c r="M1612" s="27" t="str">
        <f t="shared" si="201"/>
        <v/>
      </c>
      <c r="O1612" s="27" t="str">
        <f t="shared" si="202"/>
        <v/>
      </c>
      <c r="Q1612" s="27" t="str">
        <f t="shared" si="203"/>
        <v/>
      </c>
    </row>
    <row r="1613" spans="13:17" x14ac:dyDescent="0.25">
      <c r="M1613" s="27" t="str">
        <f t="shared" si="201"/>
        <v/>
      </c>
      <c r="O1613" s="27" t="str">
        <f t="shared" si="202"/>
        <v/>
      </c>
      <c r="Q1613" s="27" t="str">
        <f t="shared" si="203"/>
        <v/>
      </c>
    </row>
    <row r="1614" spans="13:17" x14ac:dyDescent="0.25">
      <c r="M1614" s="27" t="str">
        <f t="shared" si="201"/>
        <v/>
      </c>
      <c r="O1614" s="27" t="str">
        <f t="shared" si="202"/>
        <v/>
      </c>
      <c r="Q1614" s="27" t="str">
        <f t="shared" si="203"/>
        <v/>
      </c>
    </row>
    <row r="1615" spans="13:17" x14ac:dyDescent="0.25">
      <c r="M1615" s="27" t="str">
        <f t="shared" si="201"/>
        <v/>
      </c>
      <c r="O1615" s="27" t="str">
        <f t="shared" si="202"/>
        <v/>
      </c>
      <c r="Q1615" s="27" t="str">
        <f t="shared" si="203"/>
        <v/>
      </c>
    </row>
    <row r="1616" spans="13:17" x14ac:dyDescent="0.25">
      <c r="M1616" s="27" t="str">
        <f t="shared" si="201"/>
        <v/>
      </c>
      <c r="O1616" s="27" t="str">
        <f t="shared" si="202"/>
        <v/>
      </c>
      <c r="Q1616" s="27" t="str">
        <f t="shared" si="203"/>
        <v/>
      </c>
    </row>
    <row r="1617" spans="13:17" x14ac:dyDescent="0.25">
      <c r="M1617" s="27" t="str">
        <f t="shared" si="201"/>
        <v/>
      </c>
      <c r="O1617" s="27" t="str">
        <f t="shared" si="202"/>
        <v/>
      </c>
      <c r="Q1617" s="27" t="str">
        <f t="shared" si="203"/>
        <v/>
      </c>
    </row>
    <row r="1618" spans="13:17" x14ac:dyDescent="0.25">
      <c r="M1618" s="27" t="str">
        <f t="shared" si="201"/>
        <v/>
      </c>
      <c r="O1618" s="27" t="str">
        <f t="shared" si="202"/>
        <v/>
      </c>
      <c r="Q1618" s="27" t="str">
        <f t="shared" si="203"/>
        <v/>
      </c>
    </row>
    <row r="1619" spans="13:17" x14ac:dyDescent="0.25">
      <c r="M1619" s="27" t="str">
        <f t="shared" si="201"/>
        <v/>
      </c>
      <c r="O1619" s="27" t="str">
        <f t="shared" si="202"/>
        <v/>
      </c>
      <c r="Q1619" s="27" t="str">
        <f t="shared" si="203"/>
        <v/>
      </c>
    </row>
    <row r="1620" spans="13:17" x14ac:dyDescent="0.25">
      <c r="M1620" s="27" t="str">
        <f t="shared" si="201"/>
        <v/>
      </c>
      <c r="O1620" s="27" t="str">
        <f t="shared" si="202"/>
        <v/>
      </c>
      <c r="Q1620" s="27" t="str">
        <f t="shared" si="203"/>
        <v/>
      </c>
    </row>
    <row r="1621" spans="13:17" x14ac:dyDescent="0.25">
      <c r="M1621" s="27" t="str">
        <f t="shared" si="201"/>
        <v/>
      </c>
      <c r="O1621" s="27" t="str">
        <f t="shared" si="202"/>
        <v/>
      </c>
      <c r="Q1621" s="27" t="str">
        <f t="shared" si="203"/>
        <v/>
      </c>
    </row>
    <row r="1622" spans="13:17" x14ac:dyDescent="0.25">
      <c r="M1622" s="27" t="str">
        <f t="shared" si="201"/>
        <v/>
      </c>
      <c r="O1622" s="27" t="str">
        <f t="shared" si="202"/>
        <v/>
      </c>
      <c r="Q1622" s="27" t="str">
        <f t="shared" si="203"/>
        <v/>
      </c>
    </row>
    <row r="1623" spans="13:17" x14ac:dyDescent="0.25">
      <c r="M1623" s="27" t="str">
        <f t="shared" si="201"/>
        <v/>
      </c>
      <c r="O1623" s="27" t="str">
        <f t="shared" si="202"/>
        <v/>
      </c>
      <c r="Q1623" s="27" t="str">
        <f t="shared" si="203"/>
        <v/>
      </c>
    </row>
    <row r="1624" spans="13:17" x14ac:dyDescent="0.25">
      <c r="M1624" s="27" t="str">
        <f t="shared" si="201"/>
        <v/>
      </c>
      <c r="O1624" s="27" t="str">
        <f t="shared" si="202"/>
        <v/>
      </c>
      <c r="Q1624" s="27" t="str">
        <f t="shared" si="203"/>
        <v/>
      </c>
    </row>
    <row r="1625" spans="13:17" x14ac:dyDescent="0.25">
      <c r="M1625" s="27" t="str">
        <f t="shared" si="201"/>
        <v/>
      </c>
      <c r="O1625" s="27" t="str">
        <f t="shared" si="202"/>
        <v/>
      </c>
      <c r="Q1625" s="27" t="str">
        <f t="shared" si="203"/>
        <v/>
      </c>
    </row>
    <row r="1626" spans="13:17" x14ac:dyDescent="0.25">
      <c r="M1626" s="27" t="str">
        <f t="shared" si="201"/>
        <v/>
      </c>
      <c r="O1626" s="27" t="str">
        <f t="shared" si="202"/>
        <v/>
      </c>
      <c r="Q1626" s="27" t="str">
        <f t="shared" si="203"/>
        <v/>
      </c>
    </row>
    <row r="1627" spans="13:17" x14ac:dyDescent="0.25">
      <c r="M1627" s="27" t="str">
        <f t="shared" si="201"/>
        <v/>
      </c>
      <c r="O1627" s="27" t="str">
        <f t="shared" si="202"/>
        <v/>
      </c>
      <c r="Q1627" s="27" t="str">
        <f t="shared" si="203"/>
        <v/>
      </c>
    </row>
    <row r="1628" spans="13:17" x14ac:dyDescent="0.25">
      <c r="M1628" s="27" t="str">
        <f t="shared" si="201"/>
        <v/>
      </c>
      <c r="O1628" s="27" t="str">
        <f t="shared" si="202"/>
        <v/>
      </c>
      <c r="Q1628" s="27" t="str">
        <f t="shared" si="203"/>
        <v/>
      </c>
    </row>
    <row r="1629" spans="13:17" x14ac:dyDescent="0.25">
      <c r="M1629" s="27" t="str">
        <f t="shared" si="201"/>
        <v/>
      </c>
      <c r="O1629" s="27" t="str">
        <f t="shared" si="202"/>
        <v/>
      </c>
      <c r="Q1629" s="27" t="str">
        <f t="shared" si="203"/>
        <v/>
      </c>
    </row>
    <row r="1630" spans="13:17" x14ac:dyDescent="0.25">
      <c r="M1630" s="27" t="str">
        <f t="shared" si="201"/>
        <v/>
      </c>
      <c r="O1630" s="27" t="str">
        <f t="shared" si="202"/>
        <v/>
      </c>
      <c r="Q1630" s="27" t="str">
        <f t="shared" si="203"/>
        <v/>
      </c>
    </row>
    <row r="1631" spans="13:17" x14ac:dyDescent="0.25">
      <c r="M1631" s="27" t="str">
        <f t="shared" si="201"/>
        <v/>
      </c>
      <c r="O1631" s="27" t="str">
        <f t="shared" si="202"/>
        <v/>
      </c>
      <c r="Q1631" s="27" t="str">
        <f t="shared" si="203"/>
        <v/>
      </c>
    </row>
    <row r="1632" spans="13:17" x14ac:dyDescent="0.25">
      <c r="M1632" s="27" t="str">
        <f t="shared" si="201"/>
        <v/>
      </c>
      <c r="O1632" s="27" t="str">
        <f t="shared" si="202"/>
        <v/>
      </c>
      <c r="Q1632" s="27" t="str">
        <f t="shared" si="203"/>
        <v/>
      </c>
    </row>
    <row r="1633" spans="13:17" x14ac:dyDescent="0.25">
      <c r="M1633" s="27" t="str">
        <f t="shared" si="201"/>
        <v/>
      </c>
      <c r="O1633" s="27" t="str">
        <f t="shared" si="202"/>
        <v/>
      </c>
      <c r="Q1633" s="27" t="str">
        <f t="shared" si="203"/>
        <v/>
      </c>
    </row>
    <row r="1634" spans="13:17" x14ac:dyDescent="0.25">
      <c r="M1634" s="27" t="str">
        <f t="shared" si="201"/>
        <v/>
      </c>
      <c r="O1634" s="27" t="str">
        <f t="shared" si="202"/>
        <v/>
      </c>
      <c r="Q1634" s="27" t="str">
        <f t="shared" si="203"/>
        <v/>
      </c>
    </row>
    <row r="1635" spans="13:17" x14ac:dyDescent="0.25">
      <c r="M1635" s="27" t="str">
        <f t="shared" si="201"/>
        <v/>
      </c>
      <c r="O1635" s="27" t="str">
        <f t="shared" si="202"/>
        <v/>
      </c>
    </row>
    <row r="1636" spans="13:17" x14ac:dyDescent="0.25">
      <c r="M1636" s="27" t="str">
        <f t="shared" si="201"/>
        <v/>
      </c>
      <c r="O1636" s="27" t="str">
        <f t="shared" si="202"/>
        <v/>
      </c>
    </row>
    <row r="1637" spans="13:17" x14ac:dyDescent="0.25">
      <c r="M1637" s="27" t="str">
        <f t="shared" si="201"/>
        <v/>
      </c>
      <c r="O1637" s="27" t="str">
        <f t="shared" si="202"/>
        <v/>
      </c>
    </row>
    <row r="1638" spans="13:17" x14ac:dyDescent="0.25">
      <c r="M1638" s="27" t="str">
        <f t="shared" si="201"/>
        <v/>
      </c>
      <c r="O1638" s="27" t="str">
        <f t="shared" si="202"/>
        <v/>
      </c>
    </row>
    <row r="1639" spans="13:17" x14ac:dyDescent="0.25">
      <c r="M1639" s="27" t="str">
        <f t="shared" si="201"/>
        <v/>
      </c>
      <c r="O1639" s="27" t="str">
        <f t="shared" si="202"/>
        <v/>
      </c>
    </row>
    <row r="1640" spans="13:17" x14ac:dyDescent="0.25">
      <c r="M1640" s="27" t="str">
        <f t="shared" si="201"/>
        <v/>
      </c>
      <c r="O1640" s="27" t="str">
        <f t="shared" si="202"/>
        <v/>
      </c>
    </row>
    <row r="1641" spans="13:17" x14ac:dyDescent="0.25">
      <c r="M1641" s="27" t="str">
        <f t="shared" si="201"/>
        <v/>
      </c>
      <c r="O1641" s="27" t="str">
        <f t="shared" si="202"/>
        <v/>
      </c>
    </row>
    <row r="1642" spans="13:17" x14ac:dyDescent="0.25">
      <c r="M1642" s="27" t="str">
        <f t="shared" si="201"/>
        <v/>
      </c>
      <c r="O1642" s="27" t="str">
        <f t="shared" si="202"/>
        <v/>
      </c>
    </row>
    <row r="1643" spans="13:17" x14ac:dyDescent="0.25">
      <c r="M1643" s="27" t="str">
        <f t="shared" si="201"/>
        <v/>
      </c>
      <c r="O1643" s="27" t="str">
        <f t="shared" si="202"/>
        <v/>
      </c>
    </row>
    <row r="1644" spans="13:17" x14ac:dyDescent="0.25">
      <c r="M1644" s="27" t="str">
        <f t="shared" si="201"/>
        <v/>
      </c>
      <c r="O1644" s="27" t="str">
        <f t="shared" si="202"/>
        <v/>
      </c>
    </row>
    <row r="1645" spans="13:17" x14ac:dyDescent="0.25">
      <c r="M1645" s="27" t="str">
        <f t="shared" si="201"/>
        <v/>
      </c>
      <c r="O1645" s="27" t="str">
        <f t="shared" si="202"/>
        <v/>
      </c>
    </row>
    <row r="1646" spans="13:17" x14ac:dyDescent="0.25">
      <c r="M1646" s="27" t="str">
        <f t="shared" si="201"/>
        <v/>
      </c>
      <c r="O1646" s="27" t="str">
        <f t="shared" si="202"/>
        <v/>
      </c>
    </row>
    <row r="1647" spans="13:17" x14ac:dyDescent="0.25">
      <c r="M1647" s="27" t="str">
        <f t="shared" si="201"/>
        <v/>
      </c>
      <c r="O1647" s="27" t="str">
        <f t="shared" si="202"/>
        <v/>
      </c>
    </row>
    <row r="1648" spans="13:17" x14ac:dyDescent="0.25">
      <c r="M1648" s="27" t="str">
        <f t="shared" si="201"/>
        <v/>
      </c>
      <c r="O1648" s="27" t="str">
        <f t="shared" si="202"/>
        <v/>
      </c>
    </row>
    <row r="1649" spans="13:15" x14ac:dyDescent="0.25">
      <c r="M1649" s="27" t="str">
        <f t="shared" si="201"/>
        <v/>
      </c>
      <c r="O1649" s="27" t="str">
        <f t="shared" si="202"/>
        <v/>
      </c>
    </row>
    <row r="1650" spans="13:15" x14ac:dyDescent="0.25">
      <c r="M1650" s="27" t="str">
        <f t="shared" si="201"/>
        <v/>
      </c>
      <c r="O1650" s="27" t="str">
        <f t="shared" si="202"/>
        <v/>
      </c>
    </row>
    <row r="1651" spans="13:15" x14ac:dyDescent="0.25">
      <c r="M1651" s="27" t="str">
        <f t="shared" si="201"/>
        <v/>
      </c>
      <c r="O1651" s="27" t="str">
        <f t="shared" si="202"/>
        <v/>
      </c>
    </row>
    <row r="1652" spans="13:15" x14ac:dyDescent="0.25">
      <c r="M1652" s="27" t="str">
        <f t="shared" si="201"/>
        <v/>
      </c>
      <c r="O1652" s="27" t="str">
        <f t="shared" si="202"/>
        <v/>
      </c>
    </row>
    <row r="1653" spans="13:15" x14ac:dyDescent="0.25">
      <c r="M1653" s="27" t="str">
        <f t="shared" si="201"/>
        <v/>
      </c>
      <c r="O1653" s="27" t="str">
        <f t="shared" si="202"/>
        <v/>
      </c>
    </row>
    <row r="1654" spans="13:15" x14ac:dyDescent="0.25">
      <c r="M1654" s="27" t="str">
        <f t="shared" si="201"/>
        <v/>
      </c>
      <c r="O1654" s="27" t="str">
        <f t="shared" si="202"/>
        <v/>
      </c>
    </row>
    <row r="1655" spans="13:15" x14ac:dyDescent="0.25">
      <c r="M1655" s="27" t="str">
        <f t="shared" si="201"/>
        <v/>
      </c>
      <c r="O1655" s="27" t="str">
        <f t="shared" si="202"/>
        <v/>
      </c>
    </row>
    <row r="1656" spans="13:15" x14ac:dyDescent="0.25">
      <c r="M1656" s="27" t="str">
        <f t="shared" si="201"/>
        <v/>
      </c>
      <c r="O1656" s="27" t="str">
        <f t="shared" si="202"/>
        <v/>
      </c>
    </row>
    <row r="1657" spans="13:15" x14ac:dyDescent="0.25">
      <c r="M1657" s="27" t="str">
        <f t="shared" si="201"/>
        <v/>
      </c>
      <c r="O1657" s="27" t="str">
        <f t="shared" si="202"/>
        <v/>
      </c>
    </row>
    <row r="1658" spans="13:15" x14ac:dyDescent="0.25">
      <c r="M1658" s="27" t="str">
        <f t="shared" ref="M1658:M1721" si="204">IF(L1658="","",VLOOKUP(L1658,$Y$4:$Z$15,2,TRUE))</f>
        <v/>
      </c>
      <c r="O1658" s="27" t="str">
        <f t="shared" ref="O1658:O1721" si="205">IF(N1658="","",VLOOKUP(N1658,$Y$4:$Z$15,2,TRUE))</f>
        <v/>
      </c>
    </row>
    <row r="1659" spans="13:15" x14ac:dyDescent="0.25">
      <c r="M1659" s="27" t="str">
        <f t="shared" si="204"/>
        <v/>
      </c>
      <c r="O1659" s="27" t="str">
        <f t="shared" si="205"/>
        <v/>
      </c>
    </row>
    <row r="1660" spans="13:15" x14ac:dyDescent="0.25">
      <c r="M1660" s="27" t="str">
        <f t="shared" si="204"/>
        <v/>
      </c>
      <c r="O1660" s="27" t="str">
        <f t="shared" si="205"/>
        <v/>
      </c>
    </row>
    <row r="1661" spans="13:15" x14ac:dyDescent="0.25">
      <c r="M1661" s="27" t="str">
        <f t="shared" si="204"/>
        <v/>
      </c>
      <c r="O1661" s="27" t="str">
        <f t="shared" si="205"/>
        <v/>
      </c>
    </row>
    <row r="1662" spans="13:15" x14ac:dyDescent="0.25">
      <c r="M1662" s="27" t="str">
        <f t="shared" si="204"/>
        <v/>
      </c>
      <c r="O1662" s="27" t="str">
        <f t="shared" si="205"/>
        <v/>
      </c>
    </row>
    <row r="1663" spans="13:15" x14ac:dyDescent="0.25">
      <c r="M1663" s="27" t="str">
        <f t="shared" si="204"/>
        <v/>
      </c>
      <c r="O1663" s="27" t="str">
        <f t="shared" si="205"/>
        <v/>
      </c>
    </row>
    <row r="1664" spans="13:15" x14ac:dyDescent="0.25">
      <c r="M1664" s="27" t="str">
        <f t="shared" si="204"/>
        <v/>
      </c>
      <c r="O1664" s="27" t="str">
        <f t="shared" si="205"/>
        <v/>
      </c>
    </row>
    <row r="1665" spans="13:15" x14ac:dyDescent="0.25">
      <c r="M1665" s="27" t="str">
        <f t="shared" si="204"/>
        <v/>
      </c>
      <c r="O1665" s="27" t="str">
        <f t="shared" si="205"/>
        <v/>
      </c>
    </row>
    <row r="1666" spans="13:15" x14ac:dyDescent="0.25">
      <c r="M1666" s="27" t="str">
        <f t="shared" si="204"/>
        <v/>
      </c>
      <c r="O1666" s="27" t="str">
        <f t="shared" si="205"/>
        <v/>
      </c>
    </row>
    <row r="1667" spans="13:15" x14ac:dyDescent="0.25">
      <c r="M1667" s="27" t="str">
        <f t="shared" si="204"/>
        <v/>
      </c>
      <c r="O1667" s="27" t="str">
        <f t="shared" si="205"/>
        <v/>
      </c>
    </row>
    <row r="1668" spans="13:15" x14ac:dyDescent="0.25">
      <c r="M1668" s="27" t="str">
        <f t="shared" si="204"/>
        <v/>
      </c>
      <c r="O1668" s="27" t="str">
        <f t="shared" si="205"/>
        <v/>
      </c>
    </row>
    <row r="1669" spans="13:15" x14ac:dyDescent="0.25">
      <c r="M1669" s="27" t="str">
        <f t="shared" si="204"/>
        <v/>
      </c>
      <c r="O1669" s="27" t="str">
        <f t="shared" si="205"/>
        <v/>
      </c>
    </row>
    <row r="1670" spans="13:15" x14ac:dyDescent="0.25">
      <c r="M1670" s="27" t="str">
        <f t="shared" si="204"/>
        <v/>
      </c>
      <c r="O1670" s="27" t="str">
        <f t="shared" si="205"/>
        <v/>
      </c>
    </row>
    <row r="1671" spans="13:15" x14ac:dyDescent="0.25">
      <c r="M1671" s="27" t="str">
        <f t="shared" si="204"/>
        <v/>
      </c>
      <c r="O1671" s="27" t="str">
        <f t="shared" si="205"/>
        <v/>
      </c>
    </row>
    <row r="1672" spans="13:15" x14ac:dyDescent="0.25">
      <c r="M1672" s="27" t="str">
        <f t="shared" si="204"/>
        <v/>
      </c>
      <c r="O1672" s="27" t="str">
        <f t="shared" si="205"/>
        <v/>
      </c>
    </row>
    <row r="1673" spans="13:15" x14ac:dyDescent="0.25">
      <c r="M1673" s="27" t="str">
        <f t="shared" si="204"/>
        <v/>
      </c>
      <c r="O1673" s="27" t="str">
        <f t="shared" si="205"/>
        <v/>
      </c>
    </row>
    <row r="1674" spans="13:15" x14ac:dyDescent="0.25">
      <c r="M1674" s="27" t="str">
        <f t="shared" si="204"/>
        <v/>
      </c>
      <c r="O1674" s="27" t="str">
        <f t="shared" si="205"/>
        <v/>
      </c>
    </row>
    <row r="1675" spans="13:15" x14ac:dyDescent="0.25">
      <c r="M1675" s="27" t="str">
        <f t="shared" si="204"/>
        <v/>
      </c>
      <c r="O1675" s="27" t="str">
        <f t="shared" si="205"/>
        <v/>
      </c>
    </row>
    <row r="1676" spans="13:15" x14ac:dyDescent="0.25">
      <c r="M1676" s="27" t="str">
        <f t="shared" si="204"/>
        <v/>
      </c>
      <c r="O1676" s="27" t="str">
        <f t="shared" si="205"/>
        <v/>
      </c>
    </row>
    <row r="1677" spans="13:15" x14ac:dyDescent="0.25">
      <c r="M1677" s="27" t="str">
        <f t="shared" si="204"/>
        <v/>
      </c>
      <c r="O1677" s="27" t="str">
        <f t="shared" si="205"/>
        <v/>
      </c>
    </row>
    <row r="1678" spans="13:15" x14ac:dyDescent="0.25">
      <c r="M1678" s="27" t="str">
        <f t="shared" si="204"/>
        <v/>
      </c>
      <c r="O1678" s="27" t="str">
        <f t="shared" si="205"/>
        <v/>
      </c>
    </row>
    <row r="1679" spans="13:15" x14ac:dyDescent="0.25">
      <c r="M1679" s="27" t="str">
        <f t="shared" si="204"/>
        <v/>
      </c>
      <c r="O1679" s="27" t="str">
        <f t="shared" si="205"/>
        <v/>
      </c>
    </row>
    <row r="1680" spans="13:15" x14ac:dyDescent="0.25">
      <c r="M1680" s="27" t="str">
        <f t="shared" si="204"/>
        <v/>
      </c>
      <c r="O1680" s="27" t="str">
        <f t="shared" si="205"/>
        <v/>
      </c>
    </row>
    <row r="1681" spans="13:15" x14ac:dyDescent="0.25">
      <c r="M1681" s="27" t="str">
        <f t="shared" si="204"/>
        <v/>
      </c>
      <c r="O1681" s="27" t="str">
        <f t="shared" si="205"/>
        <v/>
      </c>
    </row>
    <row r="1682" spans="13:15" x14ac:dyDescent="0.25">
      <c r="M1682" s="27" t="str">
        <f t="shared" si="204"/>
        <v/>
      </c>
      <c r="O1682" s="27" t="str">
        <f t="shared" si="205"/>
        <v/>
      </c>
    </row>
    <row r="1683" spans="13:15" x14ac:dyDescent="0.25">
      <c r="M1683" s="27" t="str">
        <f t="shared" si="204"/>
        <v/>
      </c>
      <c r="O1683" s="27" t="str">
        <f t="shared" si="205"/>
        <v/>
      </c>
    </row>
    <row r="1684" spans="13:15" x14ac:dyDescent="0.25">
      <c r="M1684" s="27" t="str">
        <f t="shared" si="204"/>
        <v/>
      </c>
      <c r="O1684" s="27" t="str">
        <f t="shared" si="205"/>
        <v/>
      </c>
    </row>
    <row r="1685" spans="13:15" x14ac:dyDescent="0.25">
      <c r="M1685" s="27" t="str">
        <f t="shared" si="204"/>
        <v/>
      </c>
      <c r="O1685" s="27" t="str">
        <f t="shared" si="205"/>
        <v/>
      </c>
    </row>
    <row r="1686" spans="13:15" x14ac:dyDescent="0.25">
      <c r="M1686" s="27" t="str">
        <f t="shared" si="204"/>
        <v/>
      </c>
      <c r="O1686" s="27" t="str">
        <f t="shared" si="205"/>
        <v/>
      </c>
    </row>
    <row r="1687" spans="13:15" x14ac:dyDescent="0.25">
      <c r="M1687" s="27" t="str">
        <f t="shared" si="204"/>
        <v/>
      </c>
      <c r="O1687" s="27" t="str">
        <f t="shared" si="205"/>
        <v/>
      </c>
    </row>
    <row r="1688" spans="13:15" x14ac:dyDescent="0.25">
      <c r="M1688" s="27" t="str">
        <f t="shared" si="204"/>
        <v/>
      </c>
      <c r="O1688" s="27" t="str">
        <f t="shared" si="205"/>
        <v/>
      </c>
    </row>
    <row r="1689" spans="13:15" x14ac:dyDescent="0.25">
      <c r="M1689" s="27" t="str">
        <f t="shared" si="204"/>
        <v/>
      </c>
      <c r="O1689" s="27" t="str">
        <f t="shared" si="205"/>
        <v/>
      </c>
    </row>
    <row r="1690" spans="13:15" x14ac:dyDescent="0.25">
      <c r="M1690" s="27" t="str">
        <f t="shared" si="204"/>
        <v/>
      </c>
      <c r="O1690" s="27" t="str">
        <f t="shared" si="205"/>
        <v/>
      </c>
    </row>
    <row r="1691" spans="13:15" x14ac:dyDescent="0.25">
      <c r="M1691" s="27" t="str">
        <f t="shared" si="204"/>
        <v/>
      </c>
      <c r="O1691" s="27" t="str">
        <f t="shared" si="205"/>
        <v/>
      </c>
    </row>
    <row r="1692" spans="13:15" x14ac:dyDescent="0.25">
      <c r="M1692" s="27" t="str">
        <f t="shared" si="204"/>
        <v/>
      </c>
      <c r="O1692" s="27" t="str">
        <f t="shared" si="205"/>
        <v/>
      </c>
    </row>
    <row r="1693" spans="13:15" x14ac:dyDescent="0.25">
      <c r="M1693" s="27" t="str">
        <f t="shared" si="204"/>
        <v/>
      </c>
      <c r="O1693" s="27" t="str">
        <f t="shared" si="205"/>
        <v/>
      </c>
    </row>
    <row r="1694" spans="13:15" x14ac:dyDescent="0.25">
      <c r="M1694" s="27" t="str">
        <f t="shared" si="204"/>
        <v/>
      </c>
      <c r="O1694" s="27" t="str">
        <f t="shared" si="205"/>
        <v/>
      </c>
    </row>
    <row r="1695" spans="13:15" x14ac:dyDescent="0.25">
      <c r="M1695" s="27" t="str">
        <f t="shared" si="204"/>
        <v/>
      </c>
      <c r="O1695" s="27" t="str">
        <f t="shared" si="205"/>
        <v/>
      </c>
    </row>
    <row r="1696" spans="13:15" x14ac:dyDescent="0.25">
      <c r="M1696" s="27" t="str">
        <f t="shared" si="204"/>
        <v/>
      </c>
      <c r="O1696" s="27" t="str">
        <f t="shared" si="205"/>
        <v/>
      </c>
    </row>
    <row r="1697" spans="13:15" x14ac:dyDescent="0.25">
      <c r="M1697" s="27" t="str">
        <f t="shared" si="204"/>
        <v/>
      </c>
      <c r="O1697" s="27" t="str">
        <f t="shared" si="205"/>
        <v/>
      </c>
    </row>
    <row r="1698" spans="13:15" x14ac:dyDescent="0.25">
      <c r="M1698" s="27" t="str">
        <f t="shared" si="204"/>
        <v/>
      </c>
      <c r="O1698" s="27" t="str">
        <f t="shared" si="205"/>
        <v/>
      </c>
    </row>
    <row r="1699" spans="13:15" x14ac:dyDescent="0.25">
      <c r="M1699" s="27" t="str">
        <f t="shared" si="204"/>
        <v/>
      </c>
      <c r="O1699" s="27" t="str">
        <f t="shared" si="205"/>
        <v/>
      </c>
    </row>
    <row r="1700" spans="13:15" x14ac:dyDescent="0.25">
      <c r="M1700" s="27" t="str">
        <f t="shared" si="204"/>
        <v/>
      </c>
      <c r="O1700" s="27" t="str">
        <f t="shared" si="205"/>
        <v/>
      </c>
    </row>
    <row r="1701" spans="13:15" x14ac:dyDescent="0.25">
      <c r="M1701" s="27" t="str">
        <f t="shared" si="204"/>
        <v/>
      </c>
      <c r="O1701" s="27" t="str">
        <f t="shared" si="205"/>
        <v/>
      </c>
    </row>
    <row r="1702" spans="13:15" x14ac:dyDescent="0.25">
      <c r="M1702" s="27" t="str">
        <f t="shared" si="204"/>
        <v/>
      </c>
      <c r="O1702" s="27" t="str">
        <f t="shared" si="205"/>
        <v/>
      </c>
    </row>
    <row r="1703" spans="13:15" x14ac:dyDescent="0.25">
      <c r="M1703" s="27" t="str">
        <f t="shared" si="204"/>
        <v/>
      </c>
      <c r="O1703" s="27" t="str">
        <f t="shared" si="205"/>
        <v/>
      </c>
    </row>
    <row r="1704" spans="13:15" x14ac:dyDescent="0.25">
      <c r="M1704" s="27" t="str">
        <f t="shared" si="204"/>
        <v/>
      </c>
      <c r="O1704" s="27" t="str">
        <f t="shared" si="205"/>
        <v/>
      </c>
    </row>
    <row r="1705" spans="13:15" x14ac:dyDescent="0.25">
      <c r="M1705" s="27" t="str">
        <f t="shared" si="204"/>
        <v/>
      </c>
      <c r="O1705" s="27" t="str">
        <f t="shared" si="205"/>
        <v/>
      </c>
    </row>
    <row r="1706" spans="13:15" x14ac:dyDescent="0.25">
      <c r="M1706" s="27" t="str">
        <f t="shared" si="204"/>
        <v/>
      </c>
      <c r="O1706" s="27" t="str">
        <f t="shared" si="205"/>
        <v/>
      </c>
    </row>
    <row r="1707" spans="13:15" x14ac:dyDescent="0.25">
      <c r="M1707" s="27" t="str">
        <f t="shared" si="204"/>
        <v/>
      </c>
      <c r="O1707" s="27" t="str">
        <f t="shared" si="205"/>
        <v/>
      </c>
    </row>
    <row r="1708" spans="13:15" x14ac:dyDescent="0.25">
      <c r="M1708" s="27" t="str">
        <f t="shared" si="204"/>
        <v/>
      </c>
      <c r="O1708" s="27" t="str">
        <f t="shared" si="205"/>
        <v/>
      </c>
    </row>
    <row r="1709" spans="13:15" x14ac:dyDescent="0.25">
      <c r="M1709" s="27" t="str">
        <f t="shared" si="204"/>
        <v/>
      </c>
      <c r="O1709" s="27" t="str">
        <f t="shared" si="205"/>
        <v/>
      </c>
    </row>
    <row r="1710" spans="13:15" x14ac:dyDescent="0.25">
      <c r="M1710" s="27" t="str">
        <f t="shared" si="204"/>
        <v/>
      </c>
      <c r="O1710" s="27" t="str">
        <f t="shared" si="205"/>
        <v/>
      </c>
    </row>
    <row r="1711" spans="13:15" x14ac:dyDescent="0.25">
      <c r="M1711" s="27" t="str">
        <f t="shared" si="204"/>
        <v/>
      </c>
      <c r="O1711" s="27" t="str">
        <f t="shared" si="205"/>
        <v/>
      </c>
    </row>
    <row r="1712" spans="13:15" x14ac:dyDescent="0.25">
      <c r="M1712" s="27" t="str">
        <f t="shared" si="204"/>
        <v/>
      </c>
      <c r="O1712" s="27" t="str">
        <f t="shared" si="205"/>
        <v/>
      </c>
    </row>
    <row r="1713" spans="13:15" x14ac:dyDescent="0.25">
      <c r="M1713" s="27" t="str">
        <f t="shared" si="204"/>
        <v/>
      </c>
      <c r="O1713" s="27" t="str">
        <f t="shared" si="205"/>
        <v/>
      </c>
    </row>
    <row r="1714" spans="13:15" x14ac:dyDescent="0.25">
      <c r="M1714" s="27" t="str">
        <f t="shared" si="204"/>
        <v/>
      </c>
      <c r="O1714" s="27" t="str">
        <f t="shared" si="205"/>
        <v/>
      </c>
    </row>
    <row r="1715" spans="13:15" x14ac:dyDescent="0.25">
      <c r="M1715" s="27" t="str">
        <f t="shared" si="204"/>
        <v/>
      </c>
      <c r="O1715" s="27" t="str">
        <f t="shared" si="205"/>
        <v/>
      </c>
    </row>
    <row r="1716" spans="13:15" x14ac:dyDescent="0.25">
      <c r="M1716" s="27" t="str">
        <f t="shared" si="204"/>
        <v/>
      </c>
      <c r="O1716" s="27" t="str">
        <f t="shared" si="205"/>
        <v/>
      </c>
    </row>
    <row r="1717" spans="13:15" x14ac:dyDescent="0.25">
      <c r="M1717" s="27" t="str">
        <f t="shared" si="204"/>
        <v/>
      </c>
      <c r="O1717" s="27" t="str">
        <f t="shared" si="205"/>
        <v/>
      </c>
    </row>
    <row r="1718" spans="13:15" x14ac:dyDescent="0.25">
      <c r="M1718" s="27" t="str">
        <f t="shared" si="204"/>
        <v/>
      </c>
      <c r="O1718" s="27" t="str">
        <f t="shared" si="205"/>
        <v/>
      </c>
    </row>
    <row r="1719" spans="13:15" x14ac:dyDescent="0.25">
      <c r="M1719" s="27" t="str">
        <f t="shared" si="204"/>
        <v/>
      </c>
      <c r="O1719" s="27" t="str">
        <f t="shared" si="205"/>
        <v/>
      </c>
    </row>
    <row r="1720" spans="13:15" x14ac:dyDescent="0.25">
      <c r="M1720" s="27" t="str">
        <f t="shared" si="204"/>
        <v/>
      </c>
      <c r="O1720" s="27" t="str">
        <f t="shared" si="205"/>
        <v/>
      </c>
    </row>
    <row r="1721" spans="13:15" x14ac:dyDescent="0.25">
      <c r="M1721" s="27" t="str">
        <f t="shared" si="204"/>
        <v/>
      </c>
      <c r="O1721" s="27" t="str">
        <f t="shared" si="205"/>
        <v/>
      </c>
    </row>
    <row r="1722" spans="13:15" x14ac:dyDescent="0.25">
      <c r="M1722" s="27" t="str">
        <f t="shared" ref="M1722:M1785" si="206">IF(L1722="","",VLOOKUP(L1722,$Y$4:$Z$15,2,TRUE))</f>
        <v/>
      </c>
      <c r="O1722" s="27" t="str">
        <f t="shared" ref="O1722:O1785" si="207">IF(N1722="","",VLOOKUP(N1722,$Y$4:$Z$15,2,TRUE))</f>
        <v/>
      </c>
    </row>
    <row r="1723" spans="13:15" x14ac:dyDescent="0.25">
      <c r="M1723" s="27" t="str">
        <f t="shared" si="206"/>
        <v/>
      </c>
      <c r="O1723" s="27" t="str">
        <f t="shared" si="207"/>
        <v/>
      </c>
    </row>
    <row r="1724" spans="13:15" x14ac:dyDescent="0.25">
      <c r="M1724" s="27" t="str">
        <f t="shared" si="206"/>
        <v/>
      </c>
      <c r="O1724" s="27" t="str">
        <f t="shared" si="207"/>
        <v/>
      </c>
    </row>
    <row r="1725" spans="13:15" x14ac:dyDescent="0.25">
      <c r="M1725" s="27" t="str">
        <f t="shared" si="206"/>
        <v/>
      </c>
      <c r="O1725" s="27" t="str">
        <f t="shared" si="207"/>
        <v/>
      </c>
    </row>
    <row r="1726" spans="13:15" x14ac:dyDescent="0.25">
      <c r="M1726" s="27" t="str">
        <f t="shared" si="206"/>
        <v/>
      </c>
      <c r="O1726" s="27" t="str">
        <f t="shared" si="207"/>
        <v/>
      </c>
    </row>
    <row r="1727" spans="13:15" x14ac:dyDescent="0.25">
      <c r="M1727" s="27" t="str">
        <f t="shared" si="206"/>
        <v/>
      </c>
      <c r="O1727" s="27" t="str">
        <f t="shared" si="207"/>
        <v/>
      </c>
    </row>
    <row r="1728" spans="13:15" x14ac:dyDescent="0.25">
      <c r="M1728" s="27" t="str">
        <f t="shared" si="206"/>
        <v/>
      </c>
      <c r="O1728" s="27" t="str">
        <f t="shared" si="207"/>
        <v/>
      </c>
    </row>
    <row r="1729" spans="13:15" x14ac:dyDescent="0.25">
      <c r="M1729" s="27" t="str">
        <f t="shared" si="206"/>
        <v/>
      </c>
      <c r="O1729" s="27" t="str">
        <f t="shared" si="207"/>
        <v/>
      </c>
    </row>
    <row r="1730" spans="13:15" x14ac:dyDescent="0.25">
      <c r="M1730" s="27" t="str">
        <f t="shared" si="206"/>
        <v/>
      </c>
      <c r="O1730" s="27" t="str">
        <f t="shared" si="207"/>
        <v/>
      </c>
    </row>
    <row r="1731" spans="13:15" x14ac:dyDescent="0.25">
      <c r="M1731" s="27" t="str">
        <f t="shared" si="206"/>
        <v/>
      </c>
      <c r="O1731" s="27" t="str">
        <f t="shared" si="207"/>
        <v/>
      </c>
    </row>
    <row r="1732" spans="13:15" x14ac:dyDescent="0.25">
      <c r="M1732" s="27" t="str">
        <f t="shared" si="206"/>
        <v/>
      </c>
      <c r="O1732" s="27" t="str">
        <f t="shared" si="207"/>
        <v/>
      </c>
    </row>
    <row r="1733" spans="13:15" x14ac:dyDescent="0.25">
      <c r="M1733" s="27" t="str">
        <f t="shared" si="206"/>
        <v/>
      </c>
      <c r="O1733" s="27" t="str">
        <f t="shared" si="207"/>
        <v/>
      </c>
    </row>
    <row r="1734" spans="13:15" x14ac:dyDescent="0.25">
      <c r="M1734" s="27" t="str">
        <f t="shared" si="206"/>
        <v/>
      </c>
      <c r="O1734" s="27" t="str">
        <f t="shared" si="207"/>
        <v/>
      </c>
    </row>
    <row r="1735" spans="13:15" x14ac:dyDescent="0.25">
      <c r="M1735" s="27" t="str">
        <f t="shared" si="206"/>
        <v/>
      </c>
      <c r="O1735" s="27" t="str">
        <f t="shared" si="207"/>
        <v/>
      </c>
    </row>
    <row r="1736" spans="13:15" x14ac:dyDescent="0.25">
      <c r="M1736" s="27" t="str">
        <f t="shared" si="206"/>
        <v/>
      </c>
      <c r="O1736" s="27" t="str">
        <f t="shared" si="207"/>
        <v/>
      </c>
    </row>
    <row r="1737" spans="13:15" x14ac:dyDescent="0.25">
      <c r="M1737" s="27" t="str">
        <f t="shared" si="206"/>
        <v/>
      </c>
      <c r="O1737" s="27" t="str">
        <f t="shared" si="207"/>
        <v/>
      </c>
    </row>
    <row r="1738" spans="13:15" x14ac:dyDescent="0.25">
      <c r="M1738" s="27" t="str">
        <f t="shared" si="206"/>
        <v/>
      </c>
      <c r="O1738" s="27" t="str">
        <f t="shared" si="207"/>
        <v/>
      </c>
    </row>
    <row r="1739" spans="13:15" x14ac:dyDescent="0.25">
      <c r="M1739" s="27" t="str">
        <f t="shared" si="206"/>
        <v/>
      </c>
      <c r="O1739" s="27" t="str">
        <f t="shared" si="207"/>
        <v/>
      </c>
    </row>
    <row r="1740" spans="13:15" x14ac:dyDescent="0.25">
      <c r="M1740" s="27" t="str">
        <f t="shared" si="206"/>
        <v/>
      </c>
      <c r="O1740" s="27" t="str">
        <f t="shared" si="207"/>
        <v/>
      </c>
    </row>
    <row r="1741" spans="13:15" x14ac:dyDescent="0.25">
      <c r="M1741" s="27" t="str">
        <f t="shared" si="206"/>
        <v/>
      </c>
      <c r="O1741" s="27" t="str">
        <f t="shared" si="207"/>
        <v/>
      </c>
    </row>
    <row r="1742" spans="13:15" x14ac:dyDescent="0.25">
      <c r="M1742" s="27" t="str">
        <f t="shared" si="206"/>
        <v/>
      </c>
      <c r="O1742" s="27" t="str">
        <f t="shared" si="207"/>
        <v/>
      </c>
    </row>
    <row r="1743" spans="13:15" x14ac:dyDescent="0.25">
      <c r="M1743" s="27" t="str">
        <f t="shared" si="206"/>
        <v/>
      </c>
      <c r="O1743" s="27" t="str">
        <f t="shared" si="207"/>
        <v/>
      </c>
    </row>
    <row r="1744" spans="13:15" x14ac:dyDescent="0.25">
      <c r="M1744" s="27" t="str">
        <f t="shared" si="206"/>
        <v/>
      </c>
      <c r="O1744" s="27" t="str">
        <f t="shared" si="207"/>
        <v/>
      </c>
    </row>
    <row r="1745" spans="13:15" x14ac:dyDescent="0.25">
      <c r="M1745" s="27" t="str">
        <f t="shared" si="206"/>
        <v/>
      </c>
      <c r="O1745" s="27" t="str">
        <f t="shared" si="207"/>
        <v/>
      </c>
    </row>
    <row r="1746" spans="13:15" x14ac:dyDescent="0.25">
      <c r="M1746" s="27" t="str">
        <f t="shared" si="206"/>
        <v/>
      </c>
      <c r="O1746" s="27" t="str">
        <f t="shared" si="207"/>
        <v/>
      </c>
    </row>
    <row r="1747" spans="13:15" x14ac:dyDescent="0.25">
      <c r="M1747" s="27" t="str">
        <f t="shared" si="206"/>
        <v/>
      </c>
      <c r="O1747" s="27" t="str">
        <f t="shared" si="207"/>
        <v/>
      </c>
    </row>
    <row r="1748" spans="13:15" x14ac:dyDescent="0.25">
      <c r="M1748" s="27" t="str">
        <f t="shared" si="206"/>
        <v/>
      </c>
      <c r="O1748" s="27" t="str">
        <f t="shared" si="207"/>
        <v/>
      </c>
    </row>
    <row r="1749" spans="13:15" x14ac:dyDescent="0.25">
      <c r="M1749" s="27" t="str">
        <f t="shared" si="206"/>
        <v/>
      </c>
      <c r="O1749" s="27" t="str">
        <f t="shared" si="207"/>
        <v/>
      </c>
    </row>
    <row r="1750" spans="13:15" x14ac:dyDescent="0.25">
      <c r="M1750" s="27" t="str">
        <f t="shared" si="206"/>
        <v/>
      </c>
      <c r="O1750" s="27" t="str">
        <f t="shared" si="207"/>
        <v/>
      </c>
    </row>
    <row r="1751" spans="13:15" x14ac:dyDescent="0.25">
      <c r="M1751" s="27" t="str">
        <f t="shared" si="206"/>
        <v/>
      </c>
      <c r="O1751" s="27" t="str">
        <f t="shared" si="207"/>
        <v/>
      </c>
    </row>
    <row r="1752" spans="13:15" x14ac:dyDescent="0.25">
      <c r="M1752" s="27" t="str">
        <f t="shared" si="206"/>
        <v/>
      </c>
      <c r="O1752" s="27" t="str">
        <f t="shared" si="207"/>
        <v/>
      </c>
    </row>
    <row r="1753" spans="13:15" x14ac:dyDescent="0.25">
      <c r="M1753" s="27" t="str">
        <f t="shared" si="206"/>
        <v/>
      </c>
      <c r="O1753" s="27" t="str">
        <f t="shared" si="207"/>
        <v/>
      </c>
    </row>
    <row r="1754" spans="13:15" x14ac:dyDescent="0.25">
      <c r="M1754" s="27" t="str">
        <f t="shared" si="206"/>
        <v/>
      </c>
      <c r="O1754" s="27" t="str">
        <f t="shared" si="207"/>
        <v/>
      </c>
    </row>
    <row r="1755" spans="13:15" x14ac:dyDescent="0.25">
      <c r="M1755" s="27" t="str">
        <f t="shared" si="206"/>
        <v/>
      </c>
      <c r="O1755" s="27" t="str">
        <f t="shared" si="207"/>
        <v/>
      </c>
    </row>
    <row r="1756" spans="13:15" x14ac:dyDescent="0.25">
      <c r="M1756" s="27" t="str">
        <f t="shared" si="206"/>
        <v/>
      </c>
      <c r="O1756" s="27" t="str">
        <f t="shared" si="207"/>
        <v/>
      </c>
    </row>
    <row r="1757" spans="13:15" x14ac:dyDescent="0.25">
      <c r="M1757" s="27" t="str">
        <f t="shared" si="206"/>
        <v/>
      </c>
      <c r="O1757" s="27" t="str">
        <f t="shared" si="207"/>
        <v/>
      </c>
    </row>
    <row r="1758" spans="13:15" x14ac:dyDescent="0.25">
      <c r="M1758" s="27" t="str">
        <f t="shared" si="206"/>
        <v/>
      </c>
      <c r="O1758" s="27" t="str">
        <f t="shared" si="207"/>
        <v/>
      </c>
    </row>
    <row r="1759" spans="13:15" x14ac:dyDescent="0.25">
      <c r="M1759" s="27" t="str">
        <f t="shared" si="206"/>
        <v/>
      </c>
      <c r="O1759" s="27" t="str">
        <f t="shared" si="207"/>
        <v/>
      </c>
    </row>
    <row r="1760" spans="13:15" x14ac:dyDescent="0.25">
      <c r="M1760" s="27" t="str">
        <f t="shared" si="206"/>
        <v/>
      </c>
      <c r="O1760" s="27" t="str">
        <f t="shared" si="207"/>
        <v/>
      </c>
    </row>
    <row r="1761" spans="13:15" x14ac:dyDescent="0.25">
      <c r="M1761" s="27" t="str">
        <f t="shared" si="206"/>
        <v/>
      </c>
      <c r="O1761" s="27" t="str">
        <f t="shared" si="207"/>
        <v/>
      </c>
    </row>
    <row r="1762" spans="13:15" x14ac:dyDescent="0.25">
      <c r="M1762" s="27" t="str">
        <f t="shared" si="206"/>
        <v/>
      </c>
      <c r="O1762" s="27" t="str">
        <f t="shared" si="207"/>
        <v/>
      </c>
    </row>
    <row r="1763" spans="13:15" x14ac:dyDescent="0.25">
      <c r="M1763" s="27" t="str">
        <f t="shared" si="206"/>
        <v/>
      </c>
      <c r="O1763" s="27" t="str">
        <f t="shared" si="207"/>
        <v/>
      </c>
    </row>
    <row r="1764" spans="13:15" x14ac:dyDescent="0.25">
      <c r="M1764" s="27" t="str">
        <f t="shared" si="206"/>
        <v/>
      </c>
      <c r="O1764" s="27" t="str">
        <f t="shared" si="207"/>
        <v/>
      </c>
    </row>
    <row r="1765" spans="13:15" x14ac:dyDescent="0.25">
      <c r="M1765" s="27" t="str">
        <f t="shared" si="206"/>
        <v/>
      </c>
      <c r="O1765" s="27" t="str">
        <f t="shared" si="207"/>
        <v/>
      </c>
    </row>
    <row r="1766" spans="13:15" x14ac:dyDescent="0.25">
      <c r="M1766" s="27" t="str">
        <f t="shared" si="206"/>
        <v/>
      </c>
      <c r="O1766" s="27" t="str">
        <f t="shared" si="207"/>
        <v/>
      </c>
    </row>
    <row r="1767" spans="13:15" x14ac:dyDescent="0.25">
      <c r="M1767" s="27" t="str">
        <f t="shared" si="206"/>
        <v/>
      </c>
      <c r="O1767" s="27" t="str">
        <f t="shared" si="207"/>
        <v/>
      </c>
    </row>
    <row r="1768" spans="13:15" x14ac:dyDescent="0.25">
      <c r="M1768" s="27" t="str">
        <f t="shared" si="206"/>
        <v/>
      </c>
      <c r="O1768" s="27" t="str">
        <f t="shared" si="207"/>
        <v/>
      </c>
    </row>
    <row r="1769" spans="13:15" x14ac:dyDescent="0.25">
      <c r="M1769" s="27" t="str">
        <f t="shared" si="206"/>
        <v/>
      </c>
      <c r="O1769" s="27" t="str">
        <f t="shared" si="207"/>
        <v/>
      </c>
    </row>
    <row r="1770" spans="13:15" x14ac:dyDescent="0.25">
      <c r="M1770" s="27" t="str">
        <f t="shared" si="206"/>
        <v/>
      </c>
      <c r="O1770" s="27" t="str">
        <f t="shared" si="207"/>
        <v/>
      </c>
    </row>
    <row r="1771" spans="13:15" x14ac:dyDescent="0.25">
      <c r="M1771" s="27" t="str">
        <f t="shared" si="206"/>
        <v/>
      </c>
      <c r="O1771" s="27" t="str">
        <f t="shared" si="207"/>
        <v/>
      </c>
    </row>
    <row r="1772" spans="13:15" x14ac:dyDescent="0.25">
      <c r="M1772" s="27" t="str">
        <f t="shared" si="206"/>
        <v/>
      </c>
      <c r="O1772" s="27" t="str">
        <f t="shared" si="207"/>
        <v/>
      </c>
    </row>
    <row r="1773" spans="13:15" x14ac:dyDescent="0.25">
      <c r="M1773" s="27" t="str">
        <f t="shared" si="206"/>
        <v/>
      </c>
      <c r="O1773" s="27" t="str">
        <f t="shared" si="207"/>
        <v/>
      </c>
    </row>
    <row r="1774" spans="13:15" x14ac:dyDescent="0.25">
      <c r="M1774" s="27" t="str">
        <f t="shared" si="206"/>
        <v/>
      </c>
      <c r="O1774" s="27" t="str">
        <f t="shared" si="207"/>
        <v/>
      </c>
    </row>
    <row r="1775" spans="13:15" x14ac:dyDescent="0.25">
      <c r="M1775" s="27" t="str">
        <f t="shared" si="206"/>
        <v/>
      </c>
      <c r="O1775" s="27" t="str">
        <f t="shared" si="207"/>
        <v/>
      </c>
    </row>
    <row r="1776" spans="13:15" x14ac:dyDescent="0.25">
      <c r="M1776" s="27" t="str">
        <f t="shared" si="206"/>
        <v/>
      </c>
      <c r="O1776" s="27" t="str">
        <f t="shared" si="207"/>
        <v/>
      </c>
    </row>
    <row r="1777" spans="13:15" x14ac:dyDescent="0.25">
      <c r="M1777" s="27" t="str">
        <f t="shared" si="206"/>
        <v/>
      </c>
      <c r="O1777" s="27" t="str">
        <f t="shared" si="207"/>
        <v/>
      </c>
    </row>
    <row r="1778" spans="13:15" x14ac:dyDescent="0.25">
      <c r="M1778" s="27" t="str">
        <f t="shared" si="206"/>
        <v/>
      </c>
      <c r="O1778" s="27" t="str">
        <f t="shared" si="207"/>
        <v/>
      </c>
    </row>
    <row r="1779" spans="13:15" x14ac:dyDescent="0.25">
      <c r="M1779" s="27" t="str">
        <f t="shared" si="206"/>
        <v/>
      </c>
      <c r="O1779" s="27" t="str">
        <f t="shared" si="207"/>
        <v/>
      </c>
    </row>
    <row r="1780" spans="13:15" x14ac:dyDescent="0.25">
      <c r="M1780" s="27" t="str">
        <f t="shared" si="206"/>
        <v/>
      </c>
      <c r="O1780" s="27" t="str">
        <f t="shared" si="207"/>
        <v/>
      </c>
    </row>
    <row r="1781" spans="13:15" x14ac:dyDescent="0.25">
      <c r="M1781" s="27" t="str">
        <f t="shared" si="206"/>
        <v/>
      </c>
      <c r="O1781" s="27" t="str">
        <f t="shared" si="207"/>
        <v/>
      </c>
    </row>
    <row r="1782" spans="13:15" x14ac:dyDescent="0.25">
      <c r="M1782" s="27" t="str">
        <f t="shared" si="206"/>
        <v/>
      </c>
      <c r="O1782" s="27" t="str">
        <f t="shared" si="207"/>
        <v/>
      </c>
    </row>
    <row r="1783" spans="13:15" x14ac:dyDescent="0.25">
      <c r="M1783" s="27" t="str">
        <f t="shared" si="206"/>
        <v/>
      </c>
      <c r="O1783" s="27" t="str">
        <f t="shared" si="207"/>
        <v/>
      </c>
    </row>
    <row r="1784" spans="13:15" x14ac:dyDescent="0.25">
      <c r="M1784" s="27" t="str">
        <f t="shared" si="206"/>
        <v/>
      </c>
      <c r="O1784" s="27" t="str">
        <f t="shared" si="207"/>
        <v/>
      </c>
    </row>
    <row r="1785" spans="13:15" x14ac:dyDescent="0.25">
      <c r="M1785" s="27" t="str">
        <f t="shared" si="206"/>
        <v/>
      </c>
      <c r="O1785" s="27" t="str">
        <f t="shared" si="207"/>
        <v/>
      </c>
    </row>
    <row r="1786" spans="13:15" x14ac:dyDescent="0.25">
      <c r="M1786" s="27" t="str">
        <f t="shared" ref="M1786:M1849" si="208">IF(L1786="","",VLOOKUP(L1786,$Y$4:$Z$15,2,TRUE))</f>
        <v/>
      </c>
      <c r="O1786" s="27" t="str">
        <f t="shared" ref="O1786:O1849" si="209">IF(N1786="","",VLOOKUP(N1786,$Y$4:$Z$15,2,TRUE))</f>
        <v/>
      </c>
    </row>
    <row r="1787" spans="13:15" x14ac:dyDescent="0.25">
      <c r="M1787" s="27" t="str">
        <f t="shared" si="208"/>
        <v/>
      </c>
      <c r="O1787" s="27" t="str">
        <f t="shared" si="209"/>
        <v/>
      </c>
    </row>
    <row r="1788" spans="13:15" x14ac:dyDescent="0.25">
      <c r="M1788" s="27" t="str">
        <f t="shared" si="208"/>
        <v/>
      </c>
      <c r="O1788" s="27" t="str">
        <f t="shared" si="209"/>
        <v/>
      </c>
    </row>
    <row r="1789" spans="13:15" x14ac:dyDescent="0.25">
      <c r="M1789" s="27" t="str">
        <f t="shared" si="208"/>
        <v/>
      </c>
      <c r="O1789" s="27" t="str">
        <f t="shared" si="209"/>
        <v/>
      </c>
    </row>
    <row r="1790" spans="13:15" x14ac:dyDescent="0.25">
      <c r="M1790" s="27" t="str">
        <f t="shared" si="208"/>
        <v/>
      </c>
      <c r="O1790" s="27" t="str">
        <f t="shared" si="209"/>
        <v/>
      </c>
    </row>
    <row r="1791" spans="13:15" x14ac:dyDescent="0.25">
      <c r="M1791" s="27" t="str">
        <f t="shared" si="208"/>
        <v/>
      </c>
      <c r="O1791" s="27" t="str">
        <f t="shared" si="209"/>
        <v/>
      </c>
    </row>
    <row r="1792" spans="13:15" x14ac:dyDescent="0.25">
      <c r="M1792" s="27" t="str">
        <f t="shared" si="208"/>
        <v/>
      </c>
      <c r="O1792" s="27" t="str">
        <f t="shared" si="209"/>
        <v/>
      </c>
    </row>
    <row r="1793" spans="13:15" x14ac:dyDescent="0.25">
      <c r="M1793" s="27" t="str">
        <f t="shared" si="208"/>
        <v/>
      </c>
      <c r="O1793" s="27" t="str">
        <f t="shared" si="209"/>
        <v/>
      </c>
    </row>
    <row r="1794" spans="13:15" x14ac:dyDescent="0.25">
      <c r="M1794" s="27" t="str">
        <f t="shared" si="208"/>
        <v/>
      </c>
      <c r="O1794" s="27" t="str">
        <f t="shared" si="209"/>
        <v/>
      </c>
    </row>
    <row r="1795" spans="13:15" x14ac:dyDescent="0.25">
      <c r="M1795" s="27" t="str">
        <f t="shared" si="208"/>
        <v/>
      </c>
      <c r="O1795" s="27" t="str">
        <f t="shared" si="209"/>
        <v/>
      </c>
    </row>
    <row r="1796" spans="13:15" x14ac:dyDescent="0.25">
      <c r="M1796" s="27" t="str">
        <f t="shared" si="208"/>
        <v/>
      </c>
      <c r="O1796" s="27" t="str">
        <f t="shared" si="209"/>
        <v/>
      </c>
    </row>
    <row r="1797" spans="13:15" x14ac:dyDescent="0.25">
      <c r="M1797" s="27" t="str">
        <f t="shared" si="208"/>
        <v/>
      </c>
      <c r="O1797" s="27" t="str">
        <f t="shared" si="209"/>
        <v/>
      </c>
    </row>
    <row r="1798" spans="13:15" x14ac:dyDescent="0.25">
      <c r="M1798" s="27" t="str">
        <f t="shared" si="208"/>
        <v/>
      </c>
      <c r="O1798" s="27" t="str">
        <f t="shared" si="209"/>
        <v/>
      </c>
    </row>
    <row r="1799" spans="13:15" x14ac:dyDescent="0.25">
      <c r="M1799" s="27" t="str">
        <f t="shared" si="208"/>
        <v/>
      </c>
      <c r="O1799" s="27" t="str">
        <f t="shared" si="209"/>
        <v/>
      </c>
    </row>
    <row r="1800" spans="13:15" x14ac:dyDescent="0.25">
      <c r="M1800" s="27" t="str">
        <f t="shared" si="208"/>
        <v/>
      </c>
      <c r="O1800" s="27" t="str">
        <f t="shared" si="209"/>
        <v/>
      </c>
    </row>
    <row r="1801" spans="13:15" x14ac:dyDescent="0.25">
      <c r="M1801" s="27" t="str">
        <f t="shared" si="208"/>
        <v/>
      </c>
      <c r="O1801" s="27" t="str">
        <f t="shared" si="209"/>
        <v/>
      </c>
    </row>
    <row r="1802" spans="13:15" x14ac:dyDescent="0.25">
      <c r="M1802" s="27" t="str">
        <f t="shared" si="208"/>
        <v/>
      </c>
      <c r="O1802" s="27" t="str">
        <f t="shared" si="209"/>
        <v/>
      </c>
    </row>
    <row r="1803" spans="13:15" x14ac:dyDescent="0.25">
      <c r="M1803" s="27" t="str">
        <f t="shared" si="208"/>
        <v/>
      </c>
      <c r="O1803" s="27" t="str">
        <f t="shared" si="209"/>
        <v/>
      </c>
    </row>
    <row r="1804" spans="13:15" x14ac:dyDescent="0.25">
      <c r="M1804" s="27" t="str">
        <f t="shared" si="208"/>
        <v/>
      </c>
      <c r="O1804" s="27" t="str">
        <f t="shared" si="209"/>
        <v/>
      </c>
    </row>
    <row r="1805" spans="13:15" x14ac:dyDescent="0.25">
      <c r="M1805" s="27" t="str">
        <f t="shared" si="208"/>
        <v/>
      </c>
      <c r="O1805" s="27" t="str">
        <f t="shared" si="209"/>
        <v/>
      </c>
    </row>
    <row r="1806" spans="13:15" x14ac:dyDescent="0.25">
      <c r="M1806" s="27" t="str">
        <f t="shared" si="208"/>
        <v/>
      </c>
      <c r="O1806" s="27" t="str">
        <f t="shared" si="209"/>
        <v/>
      </c>
    </row>
    <row r="1807" spans="13:15" x14ac:dyDescent="0.25">
      <c r="M1807" s="27" t="str">
        <f t="shared" si="208"/>
        <v/>
      </c>
      <c r="O1807" s="27" t="str">
        <f t="shared" si="209"/>
        <v/>
      </c>
    </row>
    <row r="1808" spans="13:15" x14ac:dyDescent="0.25">
      <c r="M1808" s="27" t="str">
        <f t="shared" si="208"/>
        <v/>
      </c>
      <c r="O1808" s="27" t="str">
        <f t="shared" si="209"/>
        <v/>
      </c>
    </row>
    <row r="1809" spans="13:15" x14ac:dyDescent="0.25">
      <c r="M1809" s="27" t="str">
        <f t="shared" si="208"/>
        <v/>
      </c>
      <c r="O1809" s="27" t="str">
        <f t="shared" si="209"/>
        <v/>
      </c>
    </row>
    <row r="1810" spans="13:15" x14ac:dyDescent="0.25">
      <c r="M1810" s="27" t="str">
        <f t="shared" si="208"/>
        <v/>
      </c>
      <c r="O1810" s="27" t="str">
        <f t="shared" si="209"/>
        <v/>
      </c>
    </row>
    <row r="1811" spans="13:15" x14ac:dyDescent="0.25">
      <c r="M1811" s="27" t="str">
        <f t="shared" si="208"/>
        <v/>
      </c>
      <c r="O1811" s="27" t="str">
        <f t="shared" si="209"/>
        <v/>
      </c>
    </row>
    <row r="1812" spans="13:15" x14ac:dyDescent="0.25">
      <c r="M1812" s="27" t="str">
        <f t="shared" si="208"/>
        <v/>
      </c>
      <c r="O1812" s="27" t="str">
        <f t="shared" si="209"/>
        <v/>
      </c>
    </row>
    <row r="1813" spans="13:15" x14ac:dyDescent="0.25">
      <c r="M1813" s="27" t="str">
        <f t="shared" si="208"/>
        <v/>
      </c>
      <c r="O1813" s="27" t="str">
        <f t="shared" si="209"/>
        <v/>
      </c>
    </row>
    <row r="1814" spans="13:15" x14ac:dyDescent="0.25">
      <c r="M1814" s="27" t="str">
        <f t="shared" si="208"/>
        <v/>
      </c>
      <c r="O1814" s="27" t="str">
        <f t="shared" si="209"/>
        <v/>
      </c>
    </row>
    <row r="1815" spans="13:15" x14ac:dyDescent="0.25">
      <c r="M1815" s="27" t="str">
        <f t="shared" si="208"/>
        <v/>
      </c>
      <c r="O1815" s="27" t="str">
        <f t="shared" si="209"/>
        <v/>
      </c>
    </row>
    <row r="1816" spans="13:15" x14ac:dyDescent="0.25">
      <c r="M1816" s="27" t="str">
        <f t="shared" si="208"/>
        <v/>
      </c>
      <c r="O1816" s="27" t="str">
        <f t="shared" si="209"/>
        <v/>
      </c>
    </row>
    <row r="1817" spans="13:15" x14ac:dyDescent="0.25">
      <c r="M1817" s="27" t="str">
        <f t="shared" si="208"/>
        <v/>
      </c>
      <c r="O1817" s="27" t="str">
        <f t="shared" si="209"/>
        <v/>
      </c>
    </row>
    <row r="1818" spans="13:15" x14ac:dyDescent="0.25">
      <c r="M1818" s="27" t="str">
        <f t="shared" si="208"/>
        <v/>
      </c>
      <c r="O1818" s="27" t="str">
        <f t="shared" si="209"/>
        <v/>
      </c>
    </row>
    <row r="1819" spans="13:15" x14ac:dyDescent="0.25">
      <c r="M1819" s="27" t="str">
        <f t="shared" si="208"/>
        <v/>
      </c>
      <c r="O1819" s="27" t="str">
        <f t="shared" si="209"/>
        <v/>
      </c>
    </row>
    <row r="1820" spans="13:15" x14ac:dyDescent="0.25">
      <c r="M1820" s="27" t="str">
        <f t="shared" si="208"/>
        <v/>
      </c>
      <c r="O1820" s="27" t="str">
        <f t="shared" si="209"/>
        <v/>
      </c>
    </row>
    <row r="1821" spans="13:15" x14ac:dyDescent="0.25">
      <c r="M1821" s="27" t="str">
        <f t="shared" si="208"/>
        <v/>
      </c>
      <c r="O1821" s="27" t="str">
        <f t="shared" si="209"/>
        <v/>
      </c>
    </row>
    <row r="1822" spans="13:15" x14ac:dyDescent="0.25">
      <c r="M1822" s="27" t="str">
        <f t="shared" si="208"/>
        <v/>
      </c>
      <c r="O1822" s="27" t="str">
        <f t="shared" si="209"/>
        <v/>
      </c>
    </row>
    <row r="1823" spans="13:15" x14ac:dyDescent="0.25">
      <c r="M1823" s="27" t="str">
        <f t="shared" si="208"/>
        <v/>
      </c>
      <c r="O1823" s="27" t="str">
        <f t="shared" si="209"/>
        <v/>
      </c>
    </row>
    <row r="1824" spans="13:15" x14ac:dyDescent="0.25">
      <c r="M1824" s="27" t="str">
        <f t="shared" si="208"/>
        <v/>
      </c>
      <c r="O1824" s="27" t="str">
        <f t="shared" si="209"/>
        <v/>
      </c>
    </row>
    <row r="1825" spans="13:15" x14ac:dyDescent="0.25">
      <c r="M1825" s="27" t="str">
        <f t="shared" si="208"/>
        <v/>
      </c>
      <c r="O1825" s="27" t="str">
        <f t="shared" si="209"/>
        <v/>
      </c>
    </row>
    <row r="1826" spans="13:15" x14ac:dyDescent="0.25">
      <c r="M1826" s="27" t="str">
        <f t="shared" si="208"/>
        <v/>
      </c>
      <c r="O1826" s="27" t="str">
        <f t="shared" si="209"/>
        <v/>
      </c>
    </row>
    <row r="1827" spans="13:15" x14ac:dyDescent="0.25">
      <c r="M1827" s="27" t="str">
        <f t="shared" si="208"/>
        <v/>
      </c>
      <c r="O1827" s="27" t="str">
        <f t="shared" si="209"/>
        <v/>
      </c>
    </row>
    <row r="1828" spans="13:15" x14ac:dyDescent="0.25">
      <c r="M1828" s="27" t="str">
        <f t="shared" si="208"/>
        <v/>
      </c>
      <c r="O1828" s="27" t="str">
        <f t="shared" si="209"/>
        <v/>
      </c>
    </row>
    <row r="1829" spans="13:15" x14ac:dyDescent="0.25">
      <c r="M1829" s="27" t="str">
        <f t="shared" si="208"/>
        <v/>
      </c>
      <c r="O1829" s="27" t="str">
        <f t="shared" si="209"/>
        <v/>
      </c>
    </row>
    <row r="1830" spans="13:15" x14ac:dyDescent="0.25">
      <c r="M1830" s="27" t="str">
        <f t="shared" si="208"/>
        <v/>
      </c>
      <c r="O1830" s="27" t="str">
        <f t="shared" si="209"/>
        <v/>
      </c>
    </row>
    <row r="1831" spans="13:15" x14ac:dyDescent="0.25">
      <c r="M1831" s="27" t="str">
        <f t="shared" si="208"/>
        <v/>
      </c>
      <c r="O1831" s="27" t="str">
        <f t="shared" si="209"/>
        <v/>
      </c>
    </row>
    <row r="1832" spans="13:15" x14ac:dyDescent="0.25">
      <c r="M1832" s="27" t="str">
        <f t="shared" si="208"/>
        <v/>
      </c>
      <c r="O1832" s="27" t="str">
        <f t="shared" si="209"/>
        <v/>
      </c>
    </row>
    <row r="1833" spans="13:15" x14ac:dyDescent="0.25">
      <c r="M1833" s="27" t="str">
        <f t="shared" si="208"/>
        <v/>
      </c>
      <c r="O1833" s="27" t="str">
        <f t="shared" si="209"/>
        <v/>
      </c>
    </row>
    <row r="1834" spans="13:15" x14ac:dyDescent="0.25">
      <c r="M1834" s="27" t="str">
        <f t="shared" si="208"/>
        <v/>
      </c>
      <c r="O1834" s="27" t="str">
        <f t="shared" si="209"/>
        <v/>
      </c>
    </row>
    <row r="1835" spans="13:15" x14ac:dyDescent="0.25">
      <c r="M1835" s="27" t="str">
        <f t="shared" si="208"/>
        <v/>
      </c>
      <c r="O1835" s="27" t="str">
        <f t="shared" si="209"/>
        <v/>
      </c>
    </row>
    <row r="1836" spans="13:15" x14ac:dyDescent="0.25">
      <c r="M1836" s="27" t="str">
        <f t="shared" si="208"/>
        <v/>
      </c>
      <c r="O1836" s="27" t="str">
        <f t="shared" si="209"/>
        <v/>
      </c>
    </row>
    <row r="1837" spans="13:15" x14ac:dyDescent="0.25">
      <c r="M1837" s="27" t="str">
        <f t="shared" si="208"/>
        <v/>
      </c>
      <c r="O1837" s="27" t="str">
        <f t="shared" si="209"/>
        <v/>
      </c>
    </row>
    <row r="1838" spans="13:15" x14ac:dyDescent="0.25">
      <c r="M1838" s="27" t="str">
        <f t="shared" si="208"/>
        <v/>
      </c>
      <c r="O1838" s="27" t="str">
        <f t="shared" si="209"/>
        <v/>
      </c>
    </row>
    <row r="1839" spans="13:15" x14ac:dyDescent="0.25">
      <c r="M1839" s="27" t="str">
        <f t="shared" si="208"/>
        <v/>
      </c>
      <c r="O1839" s="27" t="str">
        <f t="shared" si="209"/>
        <v/>
      </c>
    </row>
    <row r="1840" spans="13:15" x14ac:dyDescent="0.25">
      <c r="M1840" s="27" t="str">
        <f t="shared" si="208"/>
        <v/>
      </c>
      <c r="O1840" s="27" t="str">
        <f t="shared" si="209"/>
        <v/>
      </c>
    </row>
    <row r="1841" spans="13:15" x14ac:dyDescent="0.25">
      <c r="M1841" s="27" t="str">
        <f t="shared" si="208"/>
        <v/>
      </c>
      <c r="O1841" s="27" t="str">
        <f t="shared" si="209"/>
        <v/>
      </c>
    </row>
    <row r="1842" spans="13:15" x14ac:dyDescent="0.25">
      <c r="M1842" s="27" t="str">
        <f t="shared" si="208"/>
        <v/>
      </c>
      <c r="O1842" s="27" t="str">
        <f t="shared" si="209"/>
        <v/>
      </c>
    </row>
    <row r="1843" spans="13:15" x14ac:dyDescent="0.25">
      <c r="M1843" s="27" t="str">
        <f t="shared" si="208"/>
        <v/>
      </c>
      <c r="O1843" s="27" t="str">
        <f t="shared" si="209"/>
        <v/>
      </c>
    </row>
    <row r="1844" spans="13:15" x14ac:dyDescent="0.25">
      <c r="M1844" s="27" t="str">
        <f t="shared" si="208"/>
        <v/>
      </c>
      <c r="O1844" s="27" t="str">
        <f t="shared" si="209"/>
        <v/>
      </c>
    </row>
    <row r="1845" spans="13:15" x14ac:dyDescent="0.25">
      <c r="M1845" s="27" t="str">
        <f t="shared" si="208"/>
        <v/>
      </c>
      <c r="O1845" s="27" t="str">
        <f t="shared" si="209"/>
        <v/>
      </c>
    </row>
    <row r="1846" spans="13:15" x14ac:dyDescent="0.25">
      <c r="M1846" s="27" t="str">
        <f t="shared" si="208"/>
        <v/>
      </c>
      <c r="O1846" s="27" t="str">
        <f t="shared" si="209"/>
        <v/>
      </c>
    </row>
    <row r="1847" spans="13:15" x14ac:dyDescent="0.25">
      <c r="M1847" s="27" t="str">
        <f t="shared" si="208"/>
        <v/>
      </c>
      <c r="O1847" s="27" t="str">
        <f t="shared" si="209"/>
        <v/>
      </c>
    </row>
    <row r="1848" spans="13:15" x14ac:dyDescent="0.25">
      <c r="M1848" s="27" t="str">
        <f t="shared" si="208"/>
        <v/>
      </c>
      <c r="O1848" s="27" t="str">
        <f t="shared" si="209"/>
        <v/>
      </c>
    </row>
    <row r="1849" spans="13:15" x14ac:dyDescent="0.25">
      <c r="M1849" s="27" t="str">
        <f t="shared" si="208"/>
        <v/>
      </c>
      <c r="O1849" s="27" t="str">
        <f t="shared" si="209"/>
        <v/>
      </c>
    </row>
    <row r="1850" spans="13:15" x14ac:dyDescent="0.25">
      <c r="M1850" s="27" t="str">
        <f t="shared" ref="M1850:M1913" si="210">IF(L1850="","",VLOOKUP(L1850,$Y$4:$Z$15,2,TRUE))</f>
        <v/>
      </c>
      <c r="O1850" s="27" t="str">
        <f t="shared" ref="O1850:O1913" si="211">IF(N1850="","",VLOOKUP(N1850,$Y$4:$Z$15,2,TRUE))</f>
        <v/>
      </c>
    </row>
    <row r="1851" spans="13:15" x14ac:dyDescent="0.25">
      <c r="M1851" s="27" t="str">
        <f t="shared" si="210"/>
        <v/>
      </c>
      <c r="O1851" s="27" t="str">
        <f t="shared" si="211"/>
        <v/>
      </c>
    </row>
    <row r="1852" spans="13:15" x14ac:dyDescent="0.25">
      <c r="M1852" s="27" t="str">
        <f t="shared" si="210"/>
        <v/>
      </c>
      <c r="O1852" s="27" t="str">
        <f t="shared" si="211"/>
        <v/>
      </c>
    </row>
    <row r="1853" spans="13:15" x14ac:dyDescent="0.25">
      <c r="M1853" s="27" t="str">
        <f t="shared" si="210"/>
        <v/>
      </c>
      <c r="O1853" s="27" t="str">
        <f t="shared" si="211"/>
        <v/>
      </c>
    </row>
    <row r="1854" spans="13:15" x14ac:dyDescent="0.25">
      <c r="M1854" s="27" t="str">
        <f t="shared" si="210"/>
        <v/>
      </c>
      <c r="O1854" s="27" t="str">
        <f t="shared" si="211"/>
        <v/>
      </c>
    </row>
    <row r="1855" spans="13:15" x14ac:dyDescent="0.25">
      <c r="M1855" s="27" t="str">
        <f t="shared" si="210"/>
        <v/>
      </c>
      <c r="O1855" s="27" t="str">
        <f t="shared" si="211"/>
        <v/>
      </c>
    </row>
    <row r="1856" spans="13:15" x14ac:dyDescent="0.25">
      <c r="M1856" s="27" t="str">
        <f t="shared" si="210"/>
        <v/>
      </c>
      <c r="O1856" s="27" t="str">
        <f t="shared" si="211"/>
        <v/>
      </c>
    </row>
    <row r="1857" spans="13:15" x14ac:dyDescent="0.25">
      <c r="M1857" s="27" t="str">
        <f t="shared" si="210"/>
        <v/>
      </c>
      <c r="O1857" s="27" t="str">
        <f t="shared" si="211"/>
        <v/>
      </c>
    </row>
    <row r="1858" spans="13:15" x14ac:dyDescent="0.25">
      <c r="M1858" s="27" t="str">
        <f t="shared" si="210"/>
        <v/>
      </c>
      <c r="O1858" s="27" t="str">
        <f t="shared" si="211"/>
        <v/>
      </c>
    </row>
    <row r="1859" spans="13:15" x14ac:dyDescent="0.25">
      <c r="M1859" s="27" t="str">
        <f t="shared" si="210"/>
        <v/>
      </c>
      <c r="O1859" s="27" t="str">
        <f t="shared" si="211"/>
        <v/>
      </c>
    </row>
    <row r="1860" spans="13:15" x14ac:dyDescent="0.25">
      <c r="M1860" s="27" t="str">
        <f t="shared" si="210"/>
        <v/>
      </c>
      <c r="O1860" s="27" t="str">
        <f t="shared" si="211"/>
        <v/>
      </c>
    </row>
    <row r="1861" spans="13:15" x14ac:dyDescent="0.25">
      <c r="M1861" s="27" t="str">
        <f t="shared" si="210"/>
        <v/>
      </c>
      <c r="O1861" s="27" t="str">
        <f t="shared" si="211"/>
        <v/>
      </c>
    </row>
    <row r="1862" spans="13:15" x14ac:dyDescent="0.25">
      <c r="M1862" s="27" t="str">
        <f t="shared" si="210"/>
        <v/>
      </c>
      <c r="O1862" s="27" t="str">
        <f t="shared" si="211"/>
        <v/>
      </c>
    </row>
    <row r="1863" spans="13:15" x14ac:dyDescent="0.25">
      <c r="M1863" s="27" t="str">
        <f t="shared" si="210"/>
        <v/>
      </c>
      <c r="O1863" s="27" t="str">
        <f t="shared" si="211"/>
        <v/>
      </c>
    </row>
    <row r="1864" spans="13:15" x14ac:dyDescent="0.25">
      <c r="M1864" s="27" t="str">
        <f t="shared" si="210"/>
        <v/>
      </c>
      <c r="O1864" s="27" t="str">
        <f t="shared" si="211"/>
        <v/>
      </c>
    </row>
    <row r="1865" spans="13:15" x14ac:dyDescent="0.25">
      <c r="M1865" s="27" t="str">
        <f t="shared" si="210"/>
        <v/>
      </c>
      <c r="O1865" s="27" t="str">
        <f t="shared" si="211"/>
        <v/>
      </c>
    </row>
    <row r="1866" spans="13:15" x14ac:dyDescent="0.25">
      <c r="M1866" s="27" t="str">
        <f t="shared" si="210"/>
        <v/>
      </c>
      <c r="O1866" s="27" t="str">
        <f t="shared" si="211"/>
        <v/>
      </c>
    </row>
    <row r="1867" spans="13:15" x14ac:dyDescent="0.25">
      <c r="M1867" s="27" t="str">
        <f t="shared" si="210"/>
        <v/>
      </c>
      <c r="O1867" s="27" t="str">
        <f t="shared" si="211"/>
        <v/>
      </c>
    </row>
    <row r="1868" spans="13:15" x14ac:dyDescent="0.25">
      <c r="M1868" s="27" t="str">
        <f t="shared" si="210"/>
        <v/>
      </c>
      <c r="O1868" s="27" t="str">
        <f t="shared" si="211"/>
        <v/>
      </c>
    </row>
    <row r="1869" spans="13:15" x14ac:dyDescent="0.25">
      <c r="M1869" s="27" t="str">
        <f t="shared" si="210"/>
        <v/>
      </c>
      <c r="O1869" s="27" t="str">
        <f t="shared" si="211"/>
        <v/>
      </c>
    </row>
    <row r="1870" spans="13:15" x14ac:dyDescent="0.25">
      <c r="M1870" s="27" t="str">
        <f t="shared" si="210"/>
        <v/>
      </c>
      <c r="O1870" s="27" t="str">
        <f t="shared" si="211"/>
        <v/>
      </c>
    </row>
    <row r="1871" spans="13:15" x14ac:dyDescent="0.25">
      <c r="M1871" s="27" t="str">
        <f t="shared" si="210"/>
        <v/>
      </c>
      <c r="O1871" s="27" t="str">
        <f t="shared" si="211"/>
        <v/>
      </c>
    </row>
    <row r="1872" spans="13:15" x14ac:dyDescent="0.25">
      <c r="M1872" s="27" t="str">
        <f t="shared" si="210"/>
        <v/>
      </c>
      <c r="O1872" s="27" t="str">
        <f t="shared" si="211"/>
        <v/>
      </c>
    </row>
    <row r="1873" spans="13:15" x14ac:dyDescent="0.25">
      <c r="M1873" s="27" t="str">
        <f t="shared" si="210"/>
        <v/>
      </c>
      <c r="O1873" s="27" t="str">
        <f t="shared" si="211"/>
        <v/>
      </c>
    </row>
    <row r="1874" spans="13:15" x14ac:dyDescent="0.25">
      <c r="M1874" s="27" t="str">
        <f t="shared" si="210"/>
        <v/>
      </c>
      <c r="O1874" s="27" t="str">
        <f t="shared" si="211"/>
        <v/>
      </c>
    </row>
    <row r="1875" spans="13:15" x14ac:dyDescent="0.25">
      <c r="M1875" s="27" t="str">
        <f t="shared" si="210"/>
        <v/>
      </c>
      <c r="O1875" s="27" t="str">
        <f t="shared" si="211"/>
        <v/>
      </c>
    </row>
    <row r="1876" spans="13:15" x14ac:dyDescent="0.25">
      <c r="M1876" s="27" t="str">
        <f t="shared" si="210"/>
        <v/>
      </c>
      <c r="O1876" s="27" t="str">
        <f t="shared" si="211"/>
        <v/>
      </c>
    </row>
    <row r="1877" spans="13:15" x14ac:dyDescent="0.25">
      <c r="M1877" s="27" t="str">
        <f t="shared" si="210"/>
        <v/>
      </c>
      <c r="O1877" s="27" t="str">
        <f t="shared" si="211"/>
        <v/>
      </c>
    </row>
    <row r="1878" spans="13:15" x14ac:dyDescent="0.25">
      <c r="M1878" s="27" t="str">
        <f t="shared" si="210"/>
        <v/>
      </c>
      <c r="O1878" s="27" t="str">
        <f t="shared" si="211"/>
        <v/>
      </c>
    </row>
    <row r="1879" spans="13:15" x14ac:dyDescent="0.25">
      <c r="M1879" s="27" t="str">
        <f t="shared" si="210"/>
        <v/>
      </c>
      <c r="O1879" s="27" t="str">
        <f t="shared" si="211"/>
        <v/>
      </c>
    </row>
    <row r="1880" spans="13:15" x14ac:dyDescent="0.25">
      <c r="M1880" s="27" t="str">
        <f t="shared" si="210"/>
        <v/>
      </c>
      <c r="O1880" s="27" t="str">
        <f t="shared" si="211"/>
        <v/>
      </c>
    </row>
    <row r="1881" spans="13:15" x14ac:dyDescent="0.25">
      <c r="M1881" s="27" t="str">
        <f t="shared" si="210"/>
        <v/>
      </c>
      <c r="O1881" s="27" t="str">
        <f t="shared" si="211"/>
        <v/>
      </c>
    </row>
    <row r="1882" spans="13:15" x14ac:dyDescent="0.25">
      <c r="M1882" s="27" t="str">
        <f t="shared" si="210"/>
        <v/>
      </c>
      <c r="O1882" s="27" t="str">
        <f t="shared" si="211"/>
        <v/>
      </c>
    </row>
    <row r="1883" spans="13:15" x14ac:dyDescent="0.25">
      <c r="M1883" s="27" t="str">
        <f t="shared" si="210"/>
        <v/>
      </c>
      <c r="O1883" s="27" t="str">
        <f t="shared" si="211"/>
        <v/>
      </c>
    </row>
    <row r="1884" spans="13:15" x14ac:dyDescent="0.25">
      <c r="M1884" s="27" t="str">
        <f t="shared" si="210"/>
        <v/>
      </c>
      <c r="O1884" s="27" t="str">
        <f t="shared" si="211"/>
        <v/>
      </c>
    </row>
    <row r="1885" spans="13:15" x14ac:dyDescent="0.25">
      <c r="M1885" s="27" t="str">
        <f t="shared" si="210"/>
        <v/>
      </c>
      <c r="O1885" s="27" t="str">
        <f t="shared" si="211"/>
        <v/>
      </c>
    </row>
    <row r="1886" spans="13:15" x14ac:dyDescent="0.25">
      <c r="M1886" s="27" t="str">
        <f t="shared" si="210"/>
        <v/>
      </c>
      <c r="O1886" s="27" t="str">
        <f t="shared" si="211"/>
        <v/>
      </c>
    </row>
    <row r="1887" spans="13:15" x14ac:dyDescent="0.25">
      <c r="M1887" s="27" t="str">
        <f t="shared" si="210"/>
        <v/>
      </c>
      <c r="O1887" s="27" t="str">
        <f t="shared" si="211"/>
        <v/>
      </c>
    </row>
    <row r="1888" spans="13:15" x14ac:dyDescent="0.25">
      <c r="M1888" s="27" t="str">
        <f t="shared" si="210"/>
        <v/>
      </c>
      <c r="O1888" s="27" t="str">
        <f t="shared" si="211"/>
        <v/>
      </c>
    </row>
    <row r="1889" spans="13:15" x14ac:dyDescent="0.25">
      <c r="M1889" s="27" t="str">
        <f t="shared" si="210"/>
        <v/>
      </c>
      <c r="O1889" s="27" t="str">
        <f t="shared" si="211"/>
        <v/>
      </c>
    </row>
    <row r="1890" spans="13:15" x14ac:dyDescent="0.25">
      <c r="M1890" s="27" t="str">
        <f t="shared" si="210"/>
        <v/>
      </c>
      <c r="O1890" s="27" t="str">
        <f t="shared" si="211"/>
        <v/>
      </c>
    </row>
    <row r="1891" spans="13:15" x14ac:dyDescent="0.25">
      <c r="M1891" s="27" t="str">
        <f t="shared" si="210"/>
        <v/>
      </c>
      <c r="O1891" s="27" t="str">
        <f t="shared" si="211"/>
        <v/>
      </c>
    </row>
    <row r="1892" spans="13:15" x14ac:dyDescent="0.25">
      <c r="M1892" s="27" t="str">
        <f t="shared" si="210"/>
        <v/>
      </c>
      <c r="O1892" s="27" t="str">
        <f t="shared" si="211"/>
        <v/>
      </c>
    </row>
    <row r="1893" spans="13:15" x14ac:dyDescent="0.25">
      <c r="M1893" s="27" t="str">
        <f t="shared" si="210"/>
        <v/>
      </c>
      <c r="O1893" s="27" t="str">
        <f t="shared" si="211"/>
        <v/>
      </c>
    </row>
    <row r="1894" spans="13:15" x14ac:dyDescent="0.25">
      <c r="M1894" s="27" t="str">
        <f t="shared" si="210"/>
        <v/>
      </c>
      <c r="O1894" s="27" t="str">
        <f t="shared" si="211"/>
        <v/>
      </c>
    </row>
    <row r="1895" spans="13:15" x14ac:dyDescent="0.25">
      <c r="M1895" s="27" t="str">
        <f t="shared" si="210"/>
        <v/>
      </c>
      <c r="O1895" s="27" t="str">
        <f t="shared" si="211"/>
        <v/>
      </c>
    </row>
    <row r="1896" spans="13:15" x14ac:dyDescent="0.25">
      <c r="M1896" s="27" t="str">
        <f t="shared" si="210"/>
        <v/>
      </c>
      <c r="O1896" s="27" t="str">
        <f t="shared" si="211"/>
        <v/>
      </c>
    </row>
    <row r="1897" spans="13:15" x14ac:dyDescent="0.25">
      <c r="M1897" s="27" t="str">
        <f t="shared" si="210"/>
        <v/>
      </c>
      <c r="O1897" s="27" t="str">
        <f t="shared" si="211"/>
        <v/>
      </c>
    </row>
    <row r="1898" spans="13:15" x14ac:dyDescent="0.25">
      <c r="M1898" s="27" t="str">
        <f t="shared" si="210"/>
        <v/>
      </c>
      <c r="O1898" s="27" t="str">
        <f t="shared" si="211"/>
        <v/>
      </c>
    </row>
    <row r="1899" spans="13:15" x14ac:dyDescent="0.25">
      <c r="M1899" s="27" t="str">
        <f t="shared" si="210"/>
        <v/>
      </c>
      <c r="O1899" s="27" t="str">
        <f t="shared" si="211"/>
        <v/>
      </c>
    </row>
    <row r="1900" spans="13:15" x14ac:dyDescent="0.25">
      <c r="M1900" s="27" t="str">
        <f t="shared" si="210"/>
        <v/>
      </c>
      <c r="O1900" s="27" t="str">
        <f t="shared" si="211"/>
        <v/>
      </c>
    </row>
    <row r="1901" spans="13:15" x14ac:dyDescent="0.25">
      <c r="M1901" s="27" t="str">
        <f t="shared" si="210"/>
        <v/>
      </c>
      <c r="O1901" s="27" t="str">
        <f t="shared" si="211"/>
        <v/>
      </c>
    </row>
    <row r="1902" spans="13:15" x14ac:dyDescent="0.25">
      <c r="M1902" s="27" t="str">
        <f t="shared" si="210"/>
        <v/>
      </c>
      <c r="O1902" s="27" t="str">
        <f t="shared" si="211"/>
        <v/>
      </c>
    </row>
    <row r="1903" spans="13:15" x14ac:dyDescent="0.25">
      <c r="M1903" s="27" t="str">
        <f t="shared" si="210"/>
        <v/>
      </c>
      <c r="O1903" s="27" t="str">
        <f t="shared" si="211"/>
        <v/>
      </c>
    </row>
    <row r="1904" spans="13:15" x14ac:dyDescent="0.25">
      <c r="M1904" s="27" t="str">
        <f t="shared" si="210"/>
        <v/>
      </c>
      <c r="O1904" s="27" t="str">
        <f t="shared" si="211"/>
        <v/>
      </c>
    </row>
    <row r="1905" spans="13:15" x14ac:dyDescent="0.25">
      <c r="M1905" s="27" t="str">
        <f t="shared" si="210"/>
        <v/>
      </c>
      <c r="O1905" s="27" t="str">
        <f t="shared" si="211"/>
        <v/>
      </c>
    </row>
    <row r="1906" spans="13:15" x14ac:dyDescent="0.25">
      <c r="M1906" s="27" t="str">
        <f t="shared" si="210"/>
        <v/>
      </c>
      <c r="O1906" s="27" t="str">
        <f t="shared" si="211"/>
        <v/>
      </c>
    </row>
    <row r="1907" spans="13:15" x14ac:dyDescent="0.25">
      <c r="M1907" s="27" t="str">
        <f t="shared" si="210"/>
        <v/>
      </c>
      <c r="O1907" s="27" t="str">
        <f t="shared" si="211"/>
        <v/>
      </c>
    </row>
    <row r="1908" spans="13:15" x14ac:dyDescent="0.25">
      <c r="M1908" s="27" t="str">
        <f t="shared" si="210"/>
        <v/>
      </c>
      <c r="O1908" s="27" t="str">
        <f t="shared" si="211"/>
        <v/>
      </c>
    </row>
    <row r="1909" spans="13:15" x14ac:dyDescent="0.25">
      <c r="M1909" s="27" t="str">
        <f t="shared" si="210"/>
        <v/>
      </c>
      <c r="O1909" s="27" t="str">
        <f t="shared" si="211"/>
        <v/>
      </c>
    </row>
    <row r="1910" spans="13:15" x14ac:dyDescent="0.25">
      <c r="M1910" s="27" t="str">
        <f t="shared" si="210"/>
        <v/>
      </c>
      <c r="O1910" s="27" t="str">
        <f t="shared" si="211"/>
        <v/>
      </c>
    </row>
    <row r="1911" spans="13:15" x14ac:dyDescent="0.25">
      <c r="M1911" s="27" t="str">
        <f t="shared" si="210"/>
        <v/>
      </c>
      <c r="O1911" s="27" t="str">
        <f t="shared" si="211"/>
        <v/>
      </c>
    </row>
    <row r="1912" spans="13:15" x14ac:dyDescent="0.25">
      <c r="M1912" s="27" t="str">
        <f t="shared" si="210"/>
        <v/>
      </c>
      <c r="O1912" s="27" t="str">
        <f t="shared" si="211"/>
        <v/>
      </c>
    </row>
    <row r="1913" spans="13:15" x14ac:dyDescent="0.25">
      <c r="M1913" s="27" t="str">
        <f t="shared" si="210"/>
        <v/>
      </c>
      <c r="O1913" s="27" t="str">
        <f t="shared" si="211"/>
        <v/>
      </c>
    </row>
    <row r="1914" spans="13:15" x14ac:dyDescent="0.25">
      <c r="M1914" s="27" t="str">
        <f t="shared" ref="M1914:M1977" si="212">IF(L1914="","",VLOOKUP(L1914,$Y$4:$Z$15,2,TRUE))</f>
        <v/>
      </c>
      <c r="O1914" s="27" t="str">
        <f t="shared" ref="O1914:O1977" si="213">IF(N1914="","",VLOOKUP(N1914,$Y$4:$Z$15,2,TRUE))</f>
        <v/>
      </c>
    </row>
    <row r="1915" spans="13:15" x14ac:dyDescent="0.25">
      <c r="M1915" s="27" t="str">
        <f t="shared" si="212"/>
        <v/>
      </c>
      <c r="O1915" s="27" t="str">
        <f t="shared" si="213"/>
        <v/>
      </c>
    </row>
    <row r="1916" spans="13:15" x14ac:dyDescent="0.25">
      <c r="M1916" s="27" t="str">
        <f t="shared" si="212"/>
        <v/>
      </c>
      <c r="O1916" s="27" t="str">
        <f t="shared" si="213"/>
        <v/>
      </c>
    </row>
    <row r="1917" spans="13:15" x14ac:dyDescent="0.25">
      <c r="M1917" s="27" t="str">
        <f t="shared" si="212"/>
        <v/>
      </c>
      <c r="O1917" s="27" t="str">
        <f t="shared" si="213"/>
        <v/>
      </c>
    </row>
    <row r="1918" spans="13:15" x14ac:dyDescent="0.25">
      <c r="M1918" s="27" t="str">
        <f t="shared" si="212"/>
        <v/>
      </c>
      <c r="O1918" s="27" t="str">
        <f t="shared" si="213"/>
        <v/>
      </c>
    </row>
    <row r="1919" spans="13:15" x14ac:dyDescent="0.25">
      <c r="M1919" s="27" t="str">
        <f t="shared" si="212"/>
        <v/>
      </c>
      <c r="O1919" s="27" t="str">
        <f t="shared" si="213"/>
        <v/>
      </c>
    </row>
    <row r="1920" spans="13:15" x14ac:dyDescent="0.25">
      <c r="M1920" s="27" t="str">
        <f t="shared" si="212"/>
        <v/>
      </c>
      <c r="O1920" s="27" t="str">
        <f t="shared" si="213"/>
        <v/>
      </c>
    </row>
    <row r="1921" spans="13:15" x14ac:dyDescent="0.25">
      <c r="M1921" s="27" t="str">
        <f t="shared" si="212"/>
        <v/>
      </c>
      <c r="O1921" s="27" t="str">
        <f t="shared" si="213"/>
        <v/>
      </c>
    </row>
    <row r="1922" spans="13:15" x14ac:dyDescent="0.25">
      <c r="M1922" s="27" t="str">
        <f t="shared" si="212"/>
        <v/>
      </c>
      <c r="O1922" s="27" t="str">
        <f t="shared" si="213"/>
        <v/>
      </c>
    </row>
    <row r="1923" spans="13:15" x14ac:dyDescent="0.25">
      <c r="M1923" s="27" t="str">
        <f t="shared" si="212"/>
        <v/>
      </c>
      <c r="O1923" s="27" t="str">
        <f t="shared" si="213"/>
        <v/>
      </c>
    </row>
    <row r="1924" spans="13:15" x14ac:dyDescent="0.25">
      <c r="M1924" s="27" t="str">
        <f t="shared" si="212"/>
        <v/>
      </c>
      <c r="O1924" s="27" t="str">
        <f t="shared" si="213"/>
        <v/>
      </c>
    </row>
    <row r="1925" spans="13:15" x14ac:dyDescent="0.25">
      <c r="M1925" s="27" t="str">
        <f t="shared" si="212"/>
        <v/>
      </c>
      <c r="O1925" s="27" t="str">
        <f t="shared" si="213"/>
        <v/>
      </c>
    </row>
    <row r="1926" spans="13:15" x14ac:dyDescent="0.25">
      <c r="M1926" s="27" t="str">
        <f t="shared" si="212"/>
        <v/>
      </c>
      <c r="O1926" s="27" t="str">
        <f t="shared" si="213"/>
        <v/>
      </c>
    </row>
    <row r="1927" spans="13:15" x14ac:dyDescent="0.25">
      <c r="M1927" s="27" t="str">
        <f t="shared" si="212"/>
        <v/>
      </c>
      <c r="O1927" s="27" t="str">
        <f t="shared" si="213"/>
        <v/>
      </c>
    </row>
    <row r="1928" spans="13:15" x14ac:dyDescent="0.25">
      <c r="M1928" s="27" t="str">
        <f t="shared" si="212"/>
        <v/>
      </c>
      <c r="O1928" s="27" t="str">
        <f t="shared" si="213"/>
        <v/>
      </c>
    </row>
    <row r="1929" spans="13:15" x14ac:dyDescent="0.25">
      <c r="M1929" s="27" t="str">
        <f t="shared" si="212"/>
        <v/>
      </c>
      <c r="O1929" s="27" t="str">
        <f t="shared" si="213"/>
        <v/>
      </c>
    </row>
    <row r="1930" spans="13:15" x14ac:dyDescent="0.25">
      <c r="M1930" s="27" t="str">
        <f t="shared" si="212"/>
        <v/>
      </c>
      <c r="O1930" s="27" t="str">
        <f t="shared" si="213"/>
        <v/>
      </c>
    </row>
    <row r="1931" spans="13:15" x14ac:dyDescent="0.25">
      <c r="M1931" s="27" t="str">
        <f t="shared" si="212"/>
        <v/>
      </c>
      <c r="O1931" s="27" t="str">
        <f t="shared" si="213"/>
        <v/>
      </c>
    </row>
    <row r="1932" spans="13:15" x14ac:dyDescent="0.25">
      <c r="M1932" s="27" t="str">
        <f t="shared" si="212"/>
        <v/>
      </c>
      <c r="O1932" s="27" t="str">
        <f t="shared" si="213"/>
        <v/>
      </c>
    </row>
    <row r="1933" spans="13:15" x14ac:dyDescent="0.25">
      <c r="M1933" s="27" t="str">
        <f t="shared" si="212"/>
        <v/>
      </c>
      <c r="O1933" s="27" t="str">
        <f t="shared" si="213"/>
        <v/>
      </c>
    </row>
    <row r="1934" spans="13:15" x14ac:dyDescent="0.25">
      <c r="M1934" s="27" t="str">
        <f t="shared" si="212"/>
        <v/>
      </c>
      <c r="O1934" s="27" t="str">
        <f t="shared" si="213"/>
        <v/>
      </c>
    </row>
    <row r="1935" spans="13:15" x14ac:dyDescent="0.25">
      <c r="M1935" s="27" t="str">
        <f t="shared" si="212"/>
        <v/>
      </c>
      <c r="O1935" s="27" t="str">
        <f t="shared" si="213"/>
        <v/>
      </c>
    </row>
    <row r="1936" spans="13:15" x14ac:dyDescent="0.25">
      <c r="M1936" s="27" t="str">
        <f t="shared" si="212"/>
        <v/>
      </c>
      <c r="O1936" s="27" t="str">
        <f t="shared" si="213"/>
        <v/>
      </c>
    </row>
    <row r="1937" spans="13:15" x14ac:dyDescent="0.25">
      <c r="M1937" s="27" t="str">
        <f t="shared" si="212"/>
        <v/>
      </c>
      <c r="O1937" s="27" t="str">
        <f t="shared" si="213"/>
        <v/>
      </c>
    </row>
    <row r="1938" spans="13:15" x14ac:dyDescent="0.25">
      <c r="M1938" s="27" t="str">
        <f t="shared" si="212"/>
        <v/>
      </c>
      <c r="O1938" s="27" t="str">
        <f t="shared" si="213"/>
        <v/>
      </c>
    </row>
    <row r="1939" spans="13:15" x14ac:dyDescent="0.25">
      <c r="M1939" s="27" t="str">
        <f t="shared" si="212"/>
        <v/>
      </c>
      <c r="O1939" s="27" t="str">
        <f t="shared" si="213"/>
        <v/>
      </c>
    </row>
    <row r="1940" spans="13:15" x14ac:dyDescent="0.25">
      <c r="M1940" s="27" t="str">
        <f t="shared" si="212"/>
        <v/>
      </c>
      <c r="O1940" s="27" t="str">
        <f t="shared" si="213"/>
        <v/>
      </c>
    </row>
    <row r="1941" spans="13:15" x14ac:dyDescent="0.25">
      <c r="M1941" s="27" t="str">
        <f t="shared" si="212"/>
        <v/>
      </c>
      <c r="O1941" s="27" t="str">
        <f t="shared" si="213"/>
        <v/>
      </c>
    </row>
    <row r="1942" spans="13:15" x14ac:dyDescent="0.25">
      <c r="M1942" s="27" t="str">
        <f t="shared" si="212"/>
        <v/>
      </c>
      <c r="O1942" s="27" t="str">
        <f t="shared" si="213"/>
        <v/>
      </c>
    </row>
    <row r="1943" spans="13:15" x14ac:dyDescent="0.25">
      <c r="M1943" s="27" t="str">
        <f t="shared" si="212"/>
        <v/>
      </c>
      <c r="O1943" s="27" t="str">
        <f t="shared" si="213"/>
        <v/>
      </c>
    </row>
    <row r="1944" spans="13:15" x14ac:dyDescent="0.25">
      <c r="M1944" s="27" t="str">
        <f t="shared" si="212"/>
        <v/>
      </c>
      <c r="O1944" s="27" t="str">
        <f t="shared" si="213"/>
        <v/>
      </c>
    </row>
    <row r="1945" spans="13:15" x14ac:dyDescent="0.25">
      <c r="M1945" s="27" t="str">
        <f t="shared" si="212"/>
        <v/>
      </c>
      <c r="O1945" s="27" t="str">
        <f t="shared" si="213"/>
        <v/>
      </c>
    </row>
    <row r="1946" spans="13:15" x14ac:dyDescent="0.25">
      <c r="M1946" s="27" t="str">
        <f t="shared" si="212"/>
        <v/>
      </c>
      <c r="O1946" s="27" t="str">
        <f t="shared" si="213"/>
        <v/>
      </c>
    </row>
    <row r="1947" spans="13:15" x14ac:dyDescent="0.25">
      <c r="M1947" s="27" t="str">
        <f t="shared" si="212"/>
        <v/>
      </c>
      <c r="O1947" s="27" t="str">
        <f t="shared" si="213"/>
        <v/>
      </c>
    </row>
    <row r="1948" spans="13:15" x14ac:dyDescent="0.25">
      <c r="M1948" s="27" t="str">
        <f t="shared" si="212"/>
        <v/>
      </c>
      <c r="O1948" s="27" t="str">
        <f t="shared" si="213"/>
        <v/>
      </c>
    </row>
    <row r="1949" spans="13:15" x14ac:dyDescent="0.25">
      <c r="M1949" s="27" t="str">
        <f t="shared" si="212"/>
        <v/>
      </c>
      <c r="O1949" s="27" t="str">
        <f t="shared" si="213"/>
        <v/>
      </c>
    </row>
    <row r="1950" spans="13:15" x14ac:dyDescent="0.25">
      <c r="M1950" s="27" t="str">
        <f t="shared" si="212"/>
        <v/>
      </c>
      <c r="O1950" s="27" t="str">
        <f t="shared" si="213"/>
        <v/>
      </c>
    </row>
    <row r="1951" spans="13:15" x14ac:dyDescent="0.25">
      <c r="M1951" s="27" t="str">
        <f t="shared" si="212"/>
        <v/>
      </c>
      <c r="O1951" s="27" t="str">
        <f t="shared" si="213"/>
        <v/>
      </c>
    </row>
    <row r="1952" spans="13:15" x14ac:dyDescent="0.25">
      <c r="M1952" s="27" t="str">
        <f t="shared" si="212"/>
        <v/>
      </c>
      <c r="O1952" s="27" t="str">
        <f t="shared" si="213"/>
        <v/>
      </c>
    </row>
    <row r="1953" spans="13:15" x14ac:dyDescent="0.25">
      <c r="M1953" s="27" t="str">
        <f t="shared" si="212"/>
        <v/>
      </c>
      <c r="O1953" s="27" t="str">
        <f t="shared" si="213"/>
        <v/>
      </c>
    </row>
    <row r="1954" spans="13:15" x14ac:dyDescent="0.25">
      <c r="M1954" s="27" t="str">
        <f t="shared" si="212"/>
        <v/>
      </c>
      <c r="O1954" s="27" t="str">
        <f t="shared" si="213"/>
        <v/>
      </c>
    </row>
    <row r="1955" spans="13:15" x14ac:dyDescent="0.25">
      <c r="M1955" s="27" t="str">
        <f t="shared" si="212"/>
        <v/>
      </c>
      <c r="O1955" s="27" t="str">
        <f t="shared" si="213"/>
        <v/>
      </c>
    </row>
    <row r="1956" spans="13:15" x14ac:dyDescent="0.25">
      <c r="M1956" s="27" t="str">
        <f t="shared" si="212"/>
        <v/>
      </c>
      <c r="O1956" s="27" t="str">
        <f t="shared" si="213"/>
        <v/>
      </c>
    </row>
    <row r="1957" spans="13:15" x14ac:dyDescent="0.25">
      <c r="M1957" s="27" t="str">
        <f t="shared" si="212"/>
        <v/>
      </c>
      <c r="O1957" s="27" t="str">
        <f t="shared" si="213"/>
        <v/>
      </c>
    </row>
    <row r="1958" spans="13:15" x14ac:dyDescent="0.25">
      <c r="M1958" s="27" t="str">
        <f t="shared" si="212"/>
        <v/>
      </c>
      <c r="O1958" s="27" t="str">
        <f t="shared" si="213"/>
        <v/>
      </c>
    </row>
    <row r="1959" spans="13:15" x14ac:dyDescent="0.25">
      <c r="M1959" s="27" t="str">
        <f t="shared" si="212"/>
        <v/>
      </c>
      <c r="O1959" s="27" t="str">
        <f t="shared" si="213"/>
        <v/>
      </c>
    </row>
    <row r="1960" spans="13:15" x14ac:dyDescent="0.25">
      <c r="M1960" s="27" t="str">
        <f t="shared" si="212"/>
        <v/>
      </c>
      <c r="O1960" s="27" t="str">
        <f t="shared" si="213"/>
        <v/>
      </c>
    </row>
    <row r="1961" spans="13:15" x14ac:dyDescent="0.25">
      <c r="M1961" s="27" t="str">
        <f t="shared" si="212"/>
        <v/>
      </c>
      <c r="O1961" s="27" t="str">
        <f t="shared" si="213"/>
        <v/>
      </c>
    </row>
    <row r="1962" spans="13:15" x14ac:dyDescent="0.25">
      <c r="M1962" s="27" t="str">
        <f t="shared" si="212"/>
        <v/>
      </c>
      <c r="O1962" s="27" t="str">
        <f t="shared" si="213"/>
        <v/>
      </c>
    </row>
    <row r="1963" spans="13:15" x14ac:dyDescent="0.25">
      <c r="M1963" s="27" t="str">
        <f t="shared" si="212"/>
        <v/>
      </c>
      <c r="O1963" s="27" t="str">
        <f t="shared" si="213"/>
        <v/>
      </c>
    </row>
    <row r="1964" spans="13:15" x14ac:dyDescent="0.25">
      <c r="M1964" s="27" t="str">
        <f t="shared" si="212"/>
        <v/>
      </c>
      <c r="O1964" s="27" t="str">
        <f t="shared" si="213"/>
        <v/>
      </c>
    </row>
    <row r="1965" spans="13:15" x14ac:dyDescent="0.25">
      <c r="M1965" s="27" t="str">
        <f t="shared" si="212"/>
        <v/>
      </c>
      <c r="O1965" s="27" t="str">
        <f t="shared" si="213"/>
        <v/>
      </c>
    </row>
    <row r="1966" spans="13:15" x14ac:dyDescent="0.25">
      <c r="M1966" s="27" t="str">
        <f t="shared" si="212"/>
        <v/>
      </c>
      <c r="O1966" s="27" t="str">
        <f t="shared" si="213"/>
        <v/>
      </c>
    </row>
    <row r="1967" spans="13:15" x14ac:dyDescent="0.25">
      <c r="M1967" s="27" t="str">
        <f t="shared" si="212"/>
        <v/>
      </c>
      <c r="O1967" s="27" t="str">
        <f t="shared" si="213"/>
        <v/>
      </c>
    </row>
    <row r="1968" spans="13:15" x14ac:dyDescent="0.25">
      <c r="M1968" s="27" t="str">
        <f t="shared" si="212"/>
        <v/>
      </c>
      <c r="O1968" s="27" t="str">
        <f t="shared" si="213"/>
        <v/>
      </c>
    </row>
    <row r="1969" spans="13:15" x14ac:dyDescent="0.25">
      <c r="M1969" s="27" t="str">
        <f t="shared" si="212"/>
        <v/>
      </c>
      <c r="O1969" s="27" t="str">
        <f t="shared" si="213"/>
        <v/>
      </c>
    </row>
    <row r="1970" spans="13:15" x14ac:dyDescent="0.25">
      <c r="M1970" s="27" t="str">
        <f t="shared" si="212"/>
        <v/>
      </c>
      <c r="O1970" s="27" t="str">
        <f t="shared" si="213"/>
        <v/>
      </c>
    </row>
    <row r="1971" spans="13:15" x14ac:dyDescent="0.25">
      <c r="M1971" s="27" t="str">
        <f t="shared" si="212"/>
        <v/>
      </c>
      <c r="O1971" s="27" t="str">
        <f t="shared" si="213"/>
        <v/>
      </c>
    </row>
    <row r="1972" spans="13:15" x14ac:dyDescent="0.25">
      <c r="M1972" s="27" t="str">
        <f t="shared" si="212"/>
        <v/>
      </c>
      <c r="O1972" s="27" t="str">
        <f t="shared" si="213"/>
        <v/>
      </c>
    </row>
    <row r="1973" spans="13:15" x14ac:dyDescent="0.25">
      <c r="M1973" s="27" t="str">
        <f t="shared" si="212"/>
        <v/>
      </c>
      <c r="O1973" s="27" t="str">
        <f t="shared" si="213"/>
        <v/>
      </c>
    </row>
    <row r="1974" spans="13:15" x14ac:dyDescent="0.25">
      <c r="M1974" s="27" t="str">
        <f t="shared" si="212"/>
        <v/>
      </c>
      <c r="O1974" s="27" t="str">
        <f t="shared" si="213"/>
        <v/>
      </c>
    </row>
    <row r="1975" spans="13:15" x14ac:dyDescent="0.25">
      <c r="M1975" s="27" t="str">
        <f t="shared" si="212"/>
        <v/>
      </c>
      <c r="O1975" s="27" t="str">
        <f t="shared" si="213"/>
        <v/>
      </c>
    </row>
    <row r="1976" spans="13:15" x14ac:dyDescent="0.25">
      <c r="M1976" s="27" t="str">
        <f t="shared" si="212"/>
        <v/>
      </c>
      <c r="O1976" s="27" t="str">
        <f t="shared" si="213"/>
        <v/>
      </c>
    </row>
    <row r="1977" spans="13:15" x14ac:dyDescent="0.25">
      <c r="M1977" s="27" t="str">
        <f t="shared" si="212"/>
        <v/>
      </c>
      <c r="O1977" s="27" t="str">
        <f t="shared" si="213"/>
        <v/>
      </c>
    </row>
    <row r="1978" spans="13:15" x14ac:dyDescent="0.25">
      <c r="M1978" s="27" t="str">
        <f t="shared" ref="M1978:M2041" si="214">IF(L1978="","",VLOOKUP(L1978,$Y$4:$Z$15,2,TRUE))</f>
        <v/>
      </c>
      <c r="O1978" s="27" t="str">
        <f t="shared" ref="O1978:O2041" si="215">IF(N1978="","",VLOOKUP(N1978,$Y$4:$Z$15,2,TRUE))</f>
        <v/>
      </c>
    </row>
    <row r="1979" spans="13:15" x14ac:dyDescent="0.25">
      <c r="M1979" s="27" t="str">
        <f t="shared" si="214"/>
        <v/>
      </c>
      <c r="O1979" s="27" t="str">
        <f t="shared" si="215"/>
        <v/>
      </c>
    </row>
    <row r="1980" spans="13:15" x14ac:dyDescent="0.25">
      <c r="M1980" s="27" t="str">
        <f t="shared" si="214"/>
        <v/>
      </c>
      <c r="O1980" s="27" t="str">
        <f t="shared" si="215"/>
        <v/>
      </c>
    </row>
    <row r="1981" spans="13:15" x14ac:dyDescent="0.25">
      <c r="M1981" s="27" t="str">
        <f t="shared" si="214"/>
        <v/>
      </c>
      <c r="O1981" s="27" t="str">
        <f t="shared" si="215"/>
        <v/>
      </c>
    </row>
    <row r="1982" spans="13:15" x14ac:dyDescent="0.25">
      <c r="M1982" s="27" t="str">
        <f t="shared" si="214"/>
        <v/>
      </c>
      <c r="O1982" s="27" t="str">
        <f t="shared" si="215"/>
        <v/>
      </c>
    </row>
    <row r="1983" spans="13:15" x14ac:dyDescent="0.25">
      <c r="M1983" s="27" t="str">
        <f t="shared" si="214"/>
        <v/>
      </c>
      <c r="O1983" s="27" t="str">
        <f t="shared" si="215"/>
        <v/>
      </c>
    </row>
    <row r="1984" spans="13:15" x14ac:dyDescent="0.25">
      <c r="M1984" s="27" t="str">
        <f t="shared" si="214"/>
        <v/>
      </c>
      <c r="O1984" s="27" t="str">
        <f t="shared" si="215"/>
        <v/>
      </c>
    </row>
    <row r="1985" spans="13:15" x14ac:dyDescent="0.25">
      <c r="M1985" s="27" t="str">
        <f t="shared" si="214"/>
        <v/>
      </c>
      <c r="O1985" s="27" t="str">
        <f t="shared" si="215"/>
        <v/>
      </c>
    </row>
    <row r="1986" spans="13:15" x14ac:dyDescent="0.25">
      <c r="M1986" s="27" t="str">
        <f t="shared" si="214"/>
        <v/>
      </c>
      <c r="O1986" s="27" t="str">
        <f t="shared" si="215"/>
        <v/>
      </c>
    </row>
    <row r="1987" spans="13:15" x14ac:dyDescent="0.25">
      <c r="M1987" s="27" t="str">
        <f t="shared" si="214"/>
        <v/>
      </c>
      <c r="O1987" s="27" t="str">
        <f t="shared" si="215"/>
        <v/>
      </c>
    </row>
    <row r="1988" spans="13:15" x14ac:dyDescent="0.25">
      <c r="M1988" s="27" t="str">
        <f t="shared" si="214"/>
        <v/>
      </c>
      <c r="O1988" s="27" t="str">
        <f t="shared" si="215"/>
        <v/>
      </c>
    </row>
    <row r="1989" spans="13:15" x14ac:dyDescent="0.25">
      <c r="M1989" s="27" t="str">
        <f t="shared" si="214"/>
        <v/>
      </c>
      <c r="O1989" s="27" t="str">
        <f t="shared" si="215"/>
        <v/>
      </c>
    </row>
    <row r="1990" spans="13:15" x14ac:dyDescent="0.25">
      <c r="M1990" s="27" t="str">
        <f t="shared" si="214"/>
        <v/>
      </c>
      <c r="O1990" s="27" t="str">
        <f t="shared" si="215"/>
        <v/>
      </c>
    </row>
    <row r="1991" spans="13:15" x14ac:dyDescent="0.25">
      <c r="M1991" s="27" t="str">
        <f t="shared" si="214"/>
        <v/>
      </c>
      <c r="O1991" s="27" t="str">
        <f t="shared" si="215"/>
        <v/>
      </c>
    </row>
    <row r="1992" spans="13:15" x14ac:dyDescent="0.25">
      <c r="M1992" s="27" t="str">
        <f t="shared" si="214"/>
        <v/>
      </c>
      <c r="O1992" s="27" t="str">
        <f t="shared" si="215"/>
        <v/>
      </c>
    </row>
    <row r="1993" spans="13:15" x14ac:dyDescent="0.25">
      <c r="M1993" s="27" t="str">
        <f t="shared" si="214"/>
        <v/>
      </c>
      <c r="O1993" s="27" t="str">
        <f t="shared" si="215"/>
        <v/>
      </c>
    </row>
    <row r="1994" spans="13:15" x14ac:dyDescent="0.25">
      <c r="M1994" s="27" t="str">
        <f t="shared" si="214"/>
        <v/>
      </c>
      <c r="O1994" s="27" t="str">
        <f t="shared" si="215"/>
        <v/>
      </c>
    </row>
    <row r="1995" spans="13:15" x14ac:dyDescent="0.25">
      <c r="M1995" s="27" t="str">
        <f t="shared" si="214"/>
        <v/>
      </c>
      <c r="O1995" s="27" t="str">
        <f t="shared" si="215"/>
        <v/>
      </c>
    </row>
    <row r="1996" spans="13:15" x14ac:dyDescent="0.25">
      <c r="M1996" s="27" t="str">
        <f t="shared" si="214"/>
        <v/>
      </c>
      <c r="O1996" s="27" t="str">
        <f t="shared" si="215"/>
        <v/>
      </c>
    </row>
    <row r="1997" spans="13:15" x14ac:dyDescent="0.25">
      <c r="M1997" s="27" t="str">
        <f t="shared" si="214"/>
        <v/>
      </c>
      <c r="O1997" s="27" t="str">
        <f t="shared" si="215"/>
        <v/>
      </c>
    </row>
    <row r="1998" spans="13:15" x14ac:dyDescent="0.25">
      <c r="M1998" s="27" t="str">
        <f t="shared" si="214"/>
        <v/>
      </c>
      <c r="O1998" s="27" t="str">
        <f t="shared" si="215"/>
        <v/>
      </c>
    </row>
    <row r="1999" spans="13:15" x14ac:dyDescent="0.25">
      <c r="M1999" s="27" t="str">
        <f t="shared" si="214"/>
        <v/>
      </c>
      <c r="O1999" s="27" t="str">
        <f t="shared" si="215"/>
        <v/>
      </c>
    </row>
    <row r="2000" spans="13:15" x14ac:dyDescent="0.25">
      <c r="M2000" s="27" t="str">
        <f t="shared" si="214"/>
        <v/>
      </c>
      <c r="O2000" s="27" t="str">
        <f t="shared" si="215"/>
        <v/>
      </c>
    </row>
    <row r="2001" spans="13:15" x14ac:dyDescent="0.25">
      <c r="M2001" s="27" t="str">
        <f t="shared" si="214"/>
        <v/>
      </c>
      <c r="O2001" s="27" t="str">
        <f t="shared" si="215"/>
        <v/>
      </c>
    </row>
    <row r="2002" spans="13:15" x14ac:dyDescent="0.25">
      <c r="M2002" s="27" t="str">
        <f t="shared" si="214"/>
        <v/>
      </c>
      <c r="O2002" s="27" t="str">
        <f t="shared" si="215"/>
        <v/>
      </c>
    </row>
    <row r="2003" spans="13:15" x14ac:dyDescent="0.25">
      <c r="M2003" s="27" t="str">
        <f t="shared" si="214"/>
        <v/>
      </c>
      <c r="O2003" s="27" t="str">
        <f t="shared" si="215"/>
        <v/>
      </c>
    </row>
    <row r="2004" spans="13:15" x14ac:dyDescent="0.25">
      <c r="M2004" s="27" t="str">
        <f t="shared" si="214"/>
        <v/>
      </c>
      <c r="O2004" s="27" t="str">
        <f t="shared" si="215"/>
        <v/>
      </c>
    </row>
    <row r="2005" spans="13:15" x14ac:dyDescent="0.25">
      <c r="M2005" s="27" t="str">
        <f t="shared" si="214"/>
        <v/>
      </c>
      <c r="O2005" s="27" t="str">
        <f t="shared" si="215"/>
        <v/>
      </c>
    </row>
    <row r="2006" spans="13:15" x14ac:dyDescent="0.25">
      <c r="M2006" s="27" t="str">
        <f t="shared" si="214"/>
        <v/>
      </c>
      <c r="O2006" s="27" t="str">
        <f t="shared" si="215"/>
        <v/>
      </c>
    </row>
    <row r="2007" spans="13:15" x14ac:dyDescent="0.25">
      <c r="M2007" s="27" t="str">
        <f t="shared" si="214"/>
        <v/>
      </c>
      <c r="O2007" s="27" t="str">
        <f t="shared" si="215"/>
        <v/>
      </c>
    </row>
    <row r="2008" spans="13:15" x14ac:dyDescent="0.25">
      <c r="M2008" s="27" t="str">
        <f t="shared" si="214"/>
        <v/>
      </c>
      <c r="O2008" s="27" t="str">
        <f t="shared" si="215"/>
        <v/>
      </c>
    </row>
    <row r="2009" spans="13:15" x14ac:dyDescent="0.25">
      <c r="M2009" s="27" t="str">
        <f t="shared" si="214"/>
        <v/>
      </c>
      <c r="O2009" s="27" t="str">
        <f t="shared" si="215"/>
        <v/>
      </c>
    </row>
    <row r="2010" spans="13:15" x14ac:dyDescent="0.25">
      <c r="M2010" s="27" t="str">
        <f t="shared" si="214"/>
        <v/>
      </c>
      <c r="O2010" s="27" t="str">
        <f t="shared" si="215"/>
        <v/>
      </c>
    </row>
    <row r="2011" spans="13:15" x14ac:dyDescent="0.25">
      <c r="M2011" s="27" t="str">
        <f t="shared" si="214"/>
        <v/>
      </c>
      <c r="O2011" s="27" t="str">
        <f t="shared" si="215"/>
        <v/>
      </c>
    </row>
    <row r="2012" spans="13:15" x14ac:dyDescent="0.25">
      <c r="M2012" s="27" t="str">
        <f t="shared" si="214"/>
        <v/>
      </c>
      <c r="O2012" s="27" t="str">
        <f t="shared" si="215"/>
        <v/>
      </c>
    </row>
    <row r="2013" spans="13:15" x14ac:dyDescent="0.25">
      <c r="M2013" s="27" t="str">
        <f t="shared" si="214"/>
        <v/>
      </c>
      <c r="O2013" s="27" t="str">
        <f t="shared" si="215"/>
        <v/>
      </c>
    </row>
    <row r="2014" spans="13:15" x14ac:dyDescent="0.25">
      <c r="M2014" s="27" t="str">
        <f t="shared" si="214"/>
        <v/>
      </c>
      <c r="O2014" s="27" t="str">
        <f t="shared" si="215"/>
        <v/>
      </c>
    </row>
    <row r="2015" spans="13:15" x14ac:dyDescent="0.25">
      <c r="M2015" s="27" t="str">
        <f t="shared" si="214"/>
        <v/>
      </c>
      <c r="O2015" s="27" t="str">
        <f t="shared" si="215"/>
        <v/>
      </c>
    </row>
    <row r="2016" spans="13:15" x14ac:dyDescent="0.25">
      <c r="M2016" s="27" t="str">
        <f t="shared" si="214"/>
        <v/>
      </c>
      <c r="O2016" s="27" t="str">
        <f t="shared" si="215"/>
        <v/>
      </c>
    </row>
    <row r="2017" spans="13:15" x14ac:dyDescent="0.25">
      <c r="M2017" s="27" t="str">
        <f t="shared" si="214"/>
        <v/>
      </c>
      <c r="O2017" s="27" t="str">
        <f t="shared" si="215"/>
        <v/>
      </c>
    </row>
    <row r="2018" spans="13:15" x14ac:dyDescent="0.25">
      <c r="M2018" s="27" t="str">
        <f t="shared" si="214"/>
        <v/>
      </c>
      <c r="O2018" s="27" t="str">
        <f t="shared" si="215"/>
        <v/>
      </c>
    </row>
    <row r="2019" spans="13:15" x14ac:dyDescent="0.25">
      <c r="M2019" s="27" t="str">
        <f t="shared" si="214"/>
        <v/>
      </c>
      <c r="O2019" s="27" t="str">
        <f t="shared" si="215"/>
        <v/>
      </c>
    </row>
    <row r="2020" spans="13:15" x14ac:dyDescent="0.25">
      <c r="M2020" s="27" t="str">
        <f t="shared" si="214"/>
        <v/>
      </c>
      <c r="O2020" s="27" t="str">
        <f t="shared" si="215"/>
        <v/>
      </c>
    </row>
    <row r="2021" spans="13:15" x14ac:dyDescent="0.25">
      <c r="M2021" s="27" t="str">
        <f t="shared" si="214"/>
        <v/>
      </c>
      <c r="O2021" s="27" t="str">
        <f t="shared" si="215"/>
        <v/>
      </c>
    </row>
    <row r="2022" spans="13:15" x14ac:dyDescent="0.25">
      <c r="M2022" s="27" t="str">
        <f t="shared" si="214"/>
        <v/>
      </c>
      <c r="O2022" s="27" t="str">
        <f t="shared" si="215"/>
        <v/>
      </c>
    </row>
    <row r="2023" spans="13:15" x14ac:dyDescent="0.25">
      <c r="M2023" s="27" t="str">
        <f t="shared" si="214"/>
        <v/>
      </c>
      <c r="O2023" s="27" t="str">
        <f t="shared" si="215"/>
        <v/>
      </c>
    </row>
    <row r="2024" spans="13:15" x14ac:dyDescent="0.25">
      <c r="M2024" s="27" t="str">
        <f t="shared" si="214"/>
        <v/>
      </c>
      <c r="O2024" s="27" t="str">
        <f t="shared" si="215"/>
        <v/>
      </c>
    </row>
    <row r="2025" spans="13:15" x14ac:dyDescent="0.25">
      <c r="M2025" s="27" t="str">
        <f t="shared" si="214"/>
        <v/>
      </c>
      <c r="O2025" s="27" t="str">
        <f t="shared" si="215"/>
        <v/>
      </c>
    </row>
    <row r="2026" spans="13:15" x14ac:dyDescent="0.25">
      <c r="M2026" s="27" t="str">
        <f t="shared" si="214"/>
        <v/>
      </c>
      <c r="O2026" s="27" t="str">
        <f t="shared" si="215"/>
        <v/>
      </c>
    </row>
    <row r="2027" spans="13:15" x14ac:dyDescent="0.25">
      <c r="M2027" s="27" t="str">
        <f t="shared" si="214"/>
        <v/>
      </c>
      <c r="O2027" s="27" t="str">
        <f t="shared" si="215"/>
        <v/>
      </c>
    </row>
    <row r="2028" spans="13:15" x14ac:dyDescent="0.25">
      <c r="M2028" s="27" t="str">
        <f t="shared" si="214"/>
        <v/>
      </c>
      <c r="O2028" s="27" t="str">
        <f t="shared" si="215"/>
        <v/>
      </c>
    </row>
    <row r="2029" spans="13:15" x14ac:dyDescent="0.25">
      <c r="M2029" s="27" t="str">
        <f t="shared" si="214"/>
        <v/>
      </c>
      <c r="O2029" s="27" t="str">
        <f t="shared" si="215"/>
        <v/>
      </c>
    </row>
    <row r="2030" spans="13:15" x14ac:dyDescent="0.25">
      <c r="M2030" s="27" t="str">
        <f t="shared" si="214"/>
        <v/>
      </c>
      <c r="O2030" s="27" t="str">
        <f t="shared" si="215"/>
        <v/>
      </c>
    </row>
    <row r="2031" spans="13:15" x14ac:dyDescent="0.25">
      <c r="M2031" s="27" t="str">
        <f t="shared" si="214"/>
        <v/>
      </c>
      <c r="O2031" s="27" t="str">
        <f t="shared" si="215"/>
        <v/>
      </c>
    </row>
    <row r="2032" spans="13:15" x14ac:dyDescent="0.25">
      <c r="M2032" s="27" t="str">
        <f t="shared" si="214"/>
        <v/>
      </c>
      <c r="O2032" s="27" t="str">
        <f t="shared" si="215"/>
        <v/>
      </c>
    </row>
    <row r="2033" spans="13:15" x14ac:dyDescent="0.25">
      <c r="M2033" s="27" t="str">
        <f t="shared" si="214"/>
        <v/>
      </c>
      <c r="O2033" s="27" t="str">
        <f t="shared" si="215"/>
        <v/>
      </c>
    </row>
    <row r="2034" spans="13:15" x14ac:dyDescent="0.25">
      <c r="M2034" s="27" t="str">
        <f t="shared" si="214"/>
        <v/>
      </c>
      <c r="O2034" s="27" t="str">
        <f t="shared" si="215"/>
        <v/>
      </c>
    </row>
    <row r="2035" spans="13:15" x14ac:dyDescent="0.25">
      <c r="M2035" s="27" t="str">
        <f t="shared" si="214"/>
        <v/>
      </c>
      <c r="O2035" s="27" t="str">
        <f t="shared" si="215"/>
        <v/>
      </c>
    </row>
    <row r="2036" spans="13:15" x14ac:dyDescent="0.25">
      <c r="M2036" s="27" t="str">
        <f t="shared" si="214"/>
        <v/>
      </c>
      <c r="O2036" s="27" t="str">
        <f t="shared" si="215"/>
        <v/>
      </c>
    </row>
    <row r="2037" spans="13:15" x14ac:dyDescent="0.25">
      <c r="M2037" s="27" t="str">
        <f t="shared" si="214"/>
        <v/>
      </c>
      <c r="O2037" s="27" t="str">
        <f t="shared" si="215"/>
        <v/>
      </c>
    </row>
    <row r="2038" spans="13:15" x14ac:dyDescent="0.25">
      <c r="M2038" s="27" t="str">
        <f t="shared" si="214"/>
        <v/>
      </c>
      <c r="O2038" s="27" t="str">
        <f t="shared" si="215"/>
        <v/>
      </c>
    </row>
    <row r="2039" spans="13:15" x14ac:dyDescent="0.25">
      <c r="M2039" s="27" t="str">
        <f t="shared" si="214"/>
        <v/>
      </c>
      <c r="O2039" s="27" t="str">
        <f t="shared" si="215"/>
        <v/>
      </c>
    </row>
    <row r="2040" spans="13:15" x14ac:dyDescent="0.25">
      <c r="M2040" s="27" t="str">
        <f t="shared" si="214"/>
        <v/>
      </c>
      <c r="O2040" s="27" t="str">
        <f t="shared" si="215"/>
        <v/>
      </c>
    </row>
    <row r="2041" spans="13:15" x14ac:dyDescent="0.25">
      <c r="M2041" s="27" t="str">
        <f t="shared" si="214"/>
        <v/>
      </c>
      <c r="O2041" s="27" t="str">
        <f t="shared" si="215"/>
        <v/>
      </c>
    </row>
    <row r="2042" spans="13:15" x14ac:dyDescent="0.25">
      <c r="M2042" s="27" t="str">
        <f t="shared" ref="M2042:M2102" si="216">IF(L2042="","",VLOOKUP(L2042,$Y$4:$Z$15,2,TRUE))</f>
        <v/>
      </c>
      <c r="O2042" s="27" t="str">
        <f t="shared" ref="O2042:O2084" si="217">IF(N2042="","",VLOOKUP(N2042,$Y$4:$Z$15,2,TRUE))</f>
        <v/>
      </c>
    </row>
    <row r="2043" spans="13:15" x14ac:dyDescent="0.25">
      <c r="M2043" s="27" t="str">
        <f t="shared" si="216"/>
        <v/>
      </c>
      <c r="O2043" s="27" t="str">
        <f t="shared" si="217"/>
        <v/>
      </c>
    </row>
    <row r="2044" spans="13:15" x14ac:dyDescent="0.25">
      <c r="M2044" s="27" t="str">
        <f t="shared" si="216"/>
        <v/>
      </c>
      <c r="O2044" s="27" t="str">
        <f t="shared" si="217"/>
        <v/>
      </c>
    </row>
    <row r="2045" spans="13:15" x14ac:dyDescent="0.25">
      <c r="M2045" s="27" t="str">
        <f t="shared" si="216"/>
        <v/>
      </c>
      <c r="O2045" s="27" t="str">
        <f t="shared" si="217"/>
        <v/>
      </c>
    </row>
    <row r="2046" spans="13:15" x14ac:dyDescent="0.25">
      <c r="M2046" s="27" t="str">
        <f t="shared" si="216"/>
        <v/>
      </c>
      <c r="O2046" s="27" t="str">
        <f t="shared" si="217"/>
        <v/>
      </c>
    </row>
    <row r="2047" spans="13:15" x14ac:dyDescent="0.25">
      <c r="M2047" s="27" t="str">
        <f t="shared" si="216"/>
        <v/>
      </c>
      <c r="O2047" s="27" t="str">
        <f t="shared" si="217"/>
        <v/>
      </c>
    </row>
    <row r="2048" spans="13:15" x14ac:dyDescent="0.25">
      <c r="M2048" s="27" t="str">
        <f t="shared" si="216"/>
        <v/>
      </c>
      <c r="O2048" s="27" t="str">
        <f t="shared" si="217"/>
        <v/>
      </c>
    </row>
    <row r="2049" spans="13:15" x14ac:dyDescent="0.25">
      <c r="M2049" s="27" t="str">
        <f t="shared" si="216"/>
        <v/>
      </c>
      <c r="O2049" s="27" t="str">
        <f t="shared" si="217"/>
        <v/>
      </c>
    </row>
    <row r="2050" spans="13:15" x14ac:dyDescent="0.25">
      <c r="M2050" s="27" t="str">
        <f t="shared" si="216"/>
        <v/>
      </c>
      <c r="O2050" s="27" t="str">
        <f t="shared" si="217"/>
        <v/>
      </c>
    </row>
    <row r="2051" spans="13:15" x14ac:dyDescent="0.25">
      <c r="M2051" s="27" t="str">
        <f t="shared" si="216"/>
        <v/>
      </c>
      <c r="O2051" s="27" t="str">
        <f t="shared" si="217"/>
        <v/>
      </c>
    </row>
    <row r="2052" spans="13:15" x14ac:dyDescent="0.25">
      <c r="M2052" s="27" t="str">
        <f t="shared" si="216"/>
        <v/>
      </c>
      <c r="O2052" s="27" t="str">
        <f t="shared" si="217"/>
        <v/>
      </c>
    </row>
    <row r="2053" spans="13:15" x14ac:dyDescent="0.25">
      <c r="M2053" s="27" t="str">
        <f t="shared" si="216"/>
        <v/>
      </c>
      <c r="O2053" s="27" t="str">
        <f t="shared" si="217"/>
        <v/>
      </c>
    </row>
    <row r="2054" spans="13:15" x14ac:dyDescent="0.25">
      <c r="M2054" s="27" t="str">
        <f t="shared" si="216"/>
        <v/>
      </c>
      <c r="O2054" s="27" t="str">
        <f t="shared" si="217"/>
        <v/>
      </c>
    </row>
    <row r="2055" spans="13:15" x14ac:dyDescent="0.25">
      <c r="M2055" s="27" t="str">
        <f t="shared" si="216"/>
        <v/>
      </c>
      <c r="O2055" s="27" t="str">
        <f t="shared" si="217"/>
        <v/>
      </c>
    </row>
    <row r="2056" spans="13:15" x14ac:dyDescent="0.25">
      <c r="M2056" s="27" t="str">
        <f t="shared" si="216"/>
        <v/>
      </c>
      <c r="O2056" s="27" t="str">
        <f t="shared" si="217"/>
        <v/>
      </c>
    </row>
    <row r="2057" spans="13:15" x14ac:dyDescent="0.25">
      <c r="M2057" s="27" t="str">
        <f t="shared" si="216"/>
        <v/>
      </c>
      <c r="O2057" s="27" t="str">
        <f t="shared" si="217"/>
        <v/>
      </c>
    </row>
    <row r="2058" spans="13:15" x14ac:dyDescent="0.25">
      <c r="M2058" s="27" t="str">
        <f t="shared" si="216"/>
        <v/>
      </c>
      <c r="O2058" s="27" t="str">
        <f t="shared" si="217"/>
        <v/>
      </c>
    </row>
    <row r="2059" spans="13:15" x14ac:dyDescent="0.25">
      <c r="M2059" s="27" t="str">
        <f t="shared" si="216"/>
        <v/>
      </c>
      <c r="O2059" s="27" t="str">
        <f t="shared" si="217"/>
        <v/>
      </c>
    </row>
    <row r="2060" spans="13:15" x14ac:dyDescent="0.25">
      <c r="M2060" s="27" t="str">
        <f t="shared" si="216"/>
        <v/>
      </c>
      <c r="O2060" s="27" t="str">
        <f t="shared" si="217"/>
        <v/>
      </c>
    </row>
    <row r="2061" spans="13:15" x14ac:dyDescent="0.25">
      <c r="M2061" s="27" t="str">
        <f t="shared" si="216"/>
        <v/>
      </c>
      <c r="O2061" s="27" t="str">
        <f t="shared" si="217"/>
        <v/>
      </c>
    </row>
    <row r="2062" spans="13:15" x14ac:dyDescent="0.25">
      <c r="M2062" s="27" t="str">
        <f t="shared" si="216"/>
        <v/>
      </c>
      <c r="O2062" s="27" t="str">
        <f t="shared" si="217"/>
        <v/>
      </c>
    </row>
    <row r="2063" spans="13:15" x14ac:dyDescent="0.25">
      <c r="M2063" s="27" t="str">
        <f t="shared" si="216"/>
        <v/>
      </c>
      <c r="O2063" s="27" t="str">
        <f t="shared" si="217"/>
        <v/>
      </c>
    </row>
    <row r="2064" spans="13:15" x14ac:dyDescent="0.25">
      <c r="M2064" s="27" t="str">
        <f t="shared" si="216"/>
        <v/>
      </c>
      <c r="O2064" s="27" t="str">
        <f t="shared" si="217"/>
        <v/>
      </c>
    </row>
    <row r="2065" spans="13:15" x14ac:dyDescent="0.25">
      <c r="M2065" s="27" t="str">
        <f t="shared" si="216"/>
        <v/>
      </c>
      <c r="O2065" s="27" t="str">
        <f t="shared" si="217"/>
        <v/>
      </c>
    </row>
    <row r="2066" spans="13:15" x14ac:dyDescent="0.25">
      <c r="M2066" s="27" t="str">
        <f t="shared" si="216"/>
        <v/>
      </c>
      <c r="O2066" s="27" t="str">
        <f t="shared" si="217"/>
        <v/>
      </c>
    </row>
    <row r="2067" spans="13:15" x14ac:dyDescent="0.25">
      <c r="M2067" s="27" t="str">
        <f t="shared" si="216"/>
        <v/>
      </c>
      <c r="O2067" s="27" t="str">
        <f t="shared" si="217"/>
        <v/>
      </c>
    </row>
    <row r="2068" spans="13:15" x14ac:dyDescent="0.25">
      <c r="M2068" s="27" t="str">
        <f t="shared" si="216"/>
        <v/>
      </c>
      <c r="O2068" s="27" t="str">
        <f t="shared" si="217"/>
        <v/>
      </c>
    </row>
    <row r="2069" spans="13:15" x14ac:dyDescent="0.25">
      <c r="M2069" s="27" t="str">
        <f t="shared" si="216"/>
        <v/>
      </c>
      <c r="O2069" s="27" t="str">
        <f t="shared" si="217"/>
        <v/>
      </c>
    </row>
    <row r="2070" spans="13:15" x14ac:dyDescent="0.25">
      <c r="M2070" s="27" t="str">
        <f t="shared" si="216"/>
        <v/>
      </c>
      <c r="O2070" s="27" t="str">
        <f t="shared" si="217"/>
        <v/>
      </c>
    </row>
    <row r="2071" spans="13:15" x14ac:dyDescent="0.25">
      <c r="M2071" s="27" t="str">
        <f t="shared" si="216"/>
        <v/>
      </c>
      <c r="O2071" s="27" t="str">
        <f t="shared" si="217"/>
        <v/>
      </c>
    </row>
    <row r="2072" spans="13:15" x14ac:dyDescent="0.25">
      <c r="M2072" s="27" t="str">
        <f t="shared" si="216"/>
        <v/>
      </c>
      <c r="O2072" s="27" t="str">
        <f t="shared" si="217"/>
        <v/>
      </c>
    </row>
    <row r="2073" spans="13:15" x14ac:dyDescent="0.25">
      <c r="M2073" s="27" t="str">
        <f t="shared" si="216"/>
        <v/>
      </c>
      <c r="O2073" s="27" t="str">
        <f t="shared" si="217"/>
        <v/>
      </c>
    </row>
    <row r="2074" spans="13:15" x14ac:dyDescent="0.25">
      <c r="M2074" s="27" t="str">
        <f t="shared" si="216"/>
        <v/>
      </c>
      <c r="O2074" s="27" t="str">
        <f t="shared" si="217"/>
        <v/>
      </c>
    </row>
    <row r="2075" spans="13:15" x14ac:dyDescent="0.25">
      <c r="M2075" s="27" t="str">
        <f t="shared" si="216"/>
        <v/>
      </c>
      <c r="O2075" s="27" t="str">
        <f t="shared" si="217"/>
        <v/>
      </c>
    </row>
    <row r="2076" spans="13:15" x14ac:dyDescent="0.25">
      <c r="M2076" s="27" t="str">
        <f t="shared" si="216"/>
        <v/>
      </c>
      <c r="O2076" s="27" t="str">
        <f t="shared" si="217"/>
        <v/>
      </c>
    </row>
    <row r="2077" spans="13:15" x14ac:dyDescent="0.25">
      <c r="M2077" s="27" t="str">
        <f t="shared" si="216"/>
        <v/>
      </c>
      <c r="O2077" s="27" t="str">
        <f t="shared" si="217"/>
        <v/>
      </c>
    </row>
    <row r="2078" spans="13:15" x14ac:dyDescent="0.25">
      <c r="M2078" s="27" t="str">
        <f t="shared" si="216"/>
        <v/>
      </c>
      <c r="O2078" s="27" t="str">
        <f t="shared" si="217"/>
        <v/>
      </c>
    </row>
    <row r="2079" spans="13:15" x14ac:dyDescent="0.25">
      <c r="M2079" s="27" t="str">
        <f t="shared" si="216"/>
        <v/>
      </c>
      <c r="O2079" s="27" t="str">
        <f t="shared" si="217"/>
        <v/>
      </c>
    </row>
    <row r="2080" spans="13:15" x14ac:dyDescent="0.25">
      <c r="M2080" s="27" t="str">
        <f t="shared" si="216"/>
        <v/>
      </c>
      <c r="O2080" s="27" t="str">
        <f t="shared" si="217"/>
        <v/>
      </c>
    </row>
    <row r="2081" spans="13:15" x14ac:dyDescent="0.25">
      <c r="M2081" s="27" t="str">
        <f t="shared" si="216"/>
        <v/>
      </c>
      <c r="O2081" s="27" t="str">
        <f t="shared" si="217"/>
        <v/>
      </c>
    </row>
    <row r="2082" spans="13:15" x14ac:dyDescent="0.25">
      <c r="M2082" s="27" t="str">
        <f t="shared" si="216"/>
        <v/>
      </c>
      <c r="O2082" s="27" t="str">
        <f t="shared" si="217"/>
        <v/>
      </c>
    </row>
    <row r="2083" spans="13:15" x14ac:dyDescent="0.25">
      <c r="M2083" s="27" t="str">
        <f t="shared" si="216"/>
        <v/>
      </c>
      <c r="O2083" s="27" t="str">
        <f t="shared" si="217"/>
        <v/>
      </c>
    </row>
    <row r="2084" spans="13:15" x14ac:dyDescent="0.25">
      <c r="M2084" s="27" t="str">
        <f t="shared" si="216"/>
        <v/>
      </c>
      <c r="O2084" s="27" t="str">
        <f t="shared" si="217"/>
        <v/>
      </c>
    </row>
    <row r="2085" spans="13:15" x14ac:dyDescent="0.25">
      <c r="M2085" s="27" t="str">
        <f t="shared" si="216"/>
        <v/>
      </c>
    </row>
    <row r="2086" spans="13:15" x14ac:dyDescent="0.25">
      <c r="M2086" s="27" t="str">
        <f t="shared" si="216"/>
        <v/>
      </c>
    </row>
    <row r="2087" spans="13:15" x14ac:dyDescent="0.25">
      <c r="M2087" s="27" t="str">
        <f t="shared" si="216"/>
        <v/>
      </c>
    </row>
    <row r="2088" spans="13:15" x14ac:dyDescent="0.25">
      <c r="M2088" s="27" t="str">
        <f t="shared" si="216"/>
        <v/>
      </c>
    </row>
    <row r="2089" spans="13:15" x14ac:dyDescent="0.25">
      <c r="M2089" s="27" t="str">
        <f t="shared" si="216"/>
        <v/>
      </c>
    </row>
    <row r="2090" spans="13:15" x14ac:dyDescent="0.25">
      <c r="M2090" s="27" t="str">
        <f t="shared" si="216"/>
        <v/>
      </c>
    </row>
    <row r="2091" spans="13:15" x14ac:dyDescent="0.25">
      <c r="M2091" s="27" t="str">
        <f t="shared" si="216"/>
        <v/>
      </c>
    </row>
    <row r="2092" spans="13:15" x14ac:dyDescent="0.25">
      <c r="M2092" s="27" t="str">
        <f t="shared" si="216"/>
        <v/>
      </c>
    </row>
    <row r="2093" spans="13:15" x14ac:dyDescent="0.25">
      <c r="M2093" s="27" t="str">
        <f t="shared" si="216"/>
        <v/>
      </c>
    </row>
    <row r="2094" spans="13:15" x14ac:dyDescent="0.25">
      <c r="M2094" s="27" t="str">
        <f t="shared" si="216"/>
        <v/>
      </c>
    </row>
    <row r="2095" spans="13:15" x14ac:dyDescent="0.25">
      <c r="M2095" s="27" t="str">
        <f t="shared" si="216"/>
        <v/>
      </c>
    </row>
    <row r="2096" spans="13:15" x14ac:dyDescent="0.25">
      <c r="M2096" s="27" t="str">
        <f t="shared" si="216"/>
        <v/>
      </c>
    </row>
    <row r="2097" spans="13:13" x14ac:dyDescent="0.25">
      <c r="M2097" s="27" t="str">
        <f t="shared" si="216"/>
        <v/>
      </c>
    </row>
    <row r="2098" spans="13:13" x14ac:dyDescent="0.25">
      <c r="M2098" s="27" t="str">
        <f t="shared" si="216"/>
        <v/>
      </c>
    </row>
    <row r="2099" spans="13:13" x14ac:dyDescent="0.25">
      <c r="M2099" s="27" t="str">
        <f t="shared" si="216"/>
        <v/>
      </c>
    </row>
    <row r="2100" spans="13:13" x14ac:dyDescent="0.25">
      <c r="M2100" s="27" t="str">
        <f t="shared" si="216"/>
        <v/>
      </c>
    </row>
    <row r="2101" spans="13:13" x14ac:dyDescent="0.25">
      <c r="M2101" s="27" t="str">
        <f t="shared" si="216"/>
        <v/>
      </c>
    </row>
    <row r="2102" spans="13:13" x14ac:dyDescent="0.25">
      <c r="M2102" s="27" t="str">
        <f t="shared" si="216"/>
        <v/>
      </c>
    </row>
  </sheetData>
  <sheetProtection algorithmName="SHA-512" hashValue="yjf2BMibhZ3WVRuh3wQEe8mhEKQIsHG0e6NU1ZT8M4cRoi2LxflBRrldYu30j4ZJtaY2nBVj8vQIERGWZHRuNw==" saltValue="/PXF5zbZ7A/lpG3CfeSu3g==" spinCount="100000" sheet="1" objects="1" scenarios="1"/>
  <sortState xmlns:xlrd2="http://schemas.microsoft.com/office/spreadsheetml/2017/richdata2" ref="C5:U27">
    <sortCondition descending="1" ref="P1"/>
  </sortState>
  <dataConsolidate/>
  <mergeCells count="6">
    <mergeCell ref="AA3:AB3"/>
    <mergeCell ref="H3:O3"/>
    <mergeCell ref="Y3:Z3"/>
    <mergeCell ref="W3:X3"/>
    <mergeCell ref="F3:G3"/>
    <mergeCell ref="Q3:S3"/>
  </mergeCells>
  <conditionalFormatting sqref="O14">
    <cfRule type="iconSet" priority="8">
      <iconSet iconSet="4RedToBlack">
        <cfvo type="percent" val="0"/>
        <cfvo type="percent" val="25"/>
        <cfvo type="percent" val="50"/>
        <cfvo type="percent" val="75"/>
      </iconSet>
    </cfRule>
    <cfRule type="iconSet" priority="9">
      <iconSet>
        <cfvo type="percent" val="0"/>
        <cfvo type="percent" val="33"/>
        <cfvo type="percent" val="67"/>
      </iconSet>
    </cfRule>
  </conditionalFormatting>
  <dataValidations count="1">
    <dataValidation type="whole" allowBlank="1" showInputMessage="1" showErrorMessage="1" errorTitle="Validation" error="Input number or_x000a_Number between 0 - 100" sqref="N1:N1048576 L1:L1048576 J1:J1048576 H1:H1048576 F1:F1048576" xr:uid="{B35B9F8B-F1DB-47B6-BCA2-1F521C79F759}">
      <formula1>0</formula1>
      <formula2>100</formula2>
    </dataValidation>
  </dataValidations>
  <pageMargins left="0.25" right="0.25" top="0.75" bottom="0.75" header="0.3" footer="0.3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051" r:id="rId4" name="CommandButton3">
          <controlPr defaultSize="0" autoLine="0" r:id="rId5">
            <anchor moveWithCells="1">
              <from>
                <xdr:col>22</xdr:col>
                <xdr:colOff>466725</xdr:colOff>
                <xdr:row>24</xdr:row>
                <xdr:rowOff>114300</xdr:rowOff>
              </from>
              <to>
                <xdr:col>26</xdr:col>
                <xdr:colOff>190500</xdr:colOff>
                <xdr:row>26</xdr:row>
                <xdr:rowOff>85725</xdr:rowOff>
              </to>
            </anchor>
          </controlPr>
        </control>
      </mc:Choice>
      <mc:Fallback>
        <control shapeId="2051" r:id="rId4" name="CommandButton3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22</xdr:col>
                <xdr:colOff>409575</xdr:colOff>
                <xdr:row>16</xdr:row>
                <xdr:rowOff>0</xdr:rowOff>
              </from>
              <to>
                <xdr:col>26</xdr:col>
                <xdr:colOff>9525</xdr:colOff>
                <xdr:row>18</xdr:row>
                <xdr:rowOff>114300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0" r:id="rId8" name="CommandButton2">
          <controlPr defaultSize="0" autoLine="0" r:id="rId9">
            <anchor moveWithCells="1">
              <from>
                <xdr:col>22</xdr:col>
                <xdr:colOff>409575</xdr:colOff>
                <xdr:row>21</xdr:row>
                <xdr:rowOff>152400</xdr:rowOff>
              </from>
              <to>
                <xdr:col>26</xdr:col>
                <xdr:colOff>161925</xdr:colOff>
                <xdr:row>23</xdr:row>
                <xdr:rowOff>114300</xdr:rowOff>
              </to>
            </anchor>
          </controlPr>
        </control>
      </mc:Choice>
      <mc:Fallback>
        <control shapeId="2050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C7146-B166-4F53-8D98-AE7D393C1BE7}">
  <sheetPr codeName="Sheet2"/>
  <dimension ref="A1:J26"/>
  <sheetViews>
    <sheetView topLeftCell="A6" workbookViewId="0">
      <selection activeCell="F10" sqref="F10"/>
    </sheetView>
  </sheetViews>
  <sheetFormatPr defaultRowHeight="15" x14ac:dyDescent="0.25"/>
  <cols>
    <col min="1" max="5" width="9.140625" style="41"/>
    <col min="6" max="6" width="11.5703125" style="41" customWidth="1"/>
    <col min="7" max="7" width="12.7109375" style="41" customWidth="1"/>
    <col min="8" max="8" width="9.140625" style="41"/>
    <col min="9" max="9" width="11" style="41" bestFit="1" customWidth="1"/>
    <col min="10" max="16384" width="9.140625" style="41"/>
  </cols>
  <sheetData>
    <row r="1" spans="1:10" x14ac:dyDescent="0.25">
      <c r="A1" s="41" t="s">
        <v>0</v>
      </c>
    </row>
    <row r="4" spans="1:10" ht="26.25" x14ac:dyDescent="0.4">
      <c r="E4" s="64" t="s">
        <v>43</v>
      </c>
      <c r="F4" s="64"/>
      <c r="G4" s="64"/>
      <c r="H4" s="64"/>
      <c r="I4" s="64"/>
      <c r="J4" s="64"/>
    </row>
    <row r="5" spans="1:10" x14ac:dyDescent="0.25">
      <c r="E5" s="65" t="s">
        <v>57</v>
      </c>
      <c r="F5" s="65"/>
      <c r="G5" s="65"/>
      <c r="H5" s="65"/>
      <c r="I5" s="65"/>
      <c r="J5" s="65"/>
    </row>
    <row r="6" spans="1:10" x14ac:dyDescent="0.25">
      <c r="E6" s="42"/>
      <c r="F6" s="42"/>
      <c r="G6" s="42"/>
      <c r="H6" s="42"/>
      <c r="I6" s="42"/>
      <c r="J6" s="42"/>
    </row>
    <row r="7" spans="1:10" x14ac:dyDescent="0.25">
      <c r="E7" s="66" t="s">
        <v>58</v>
      </c>
      <c r="F7" s="66"/>
      <c r="G7" s="66"/>
      <c r="H7" s="66"/>
      <c r="I7" s="66"/>
      <c r="J7" s="43"/>
    </row>
    <row r="8" spans="1:10" x14ac:dyDescent="0.25">
      <c r="E8" s="42"/>
      <c r="F8" s="42"/>
      <c r="G8" s="42"/>
      <c r="H8" s="42"/>
      <c r="I8" s="42"/>
      <c r="J8" s="42"/>
    </row>
    <row r="9" spans="1:10" ht="15.75" x14ac:dyDescent="0.25">
      <c r="E9" s="44" t="s">
        <v>44</v>
      </c>
      <c r="F9" s="45">
        <v>6</v>
      </c>
      <c r="G9" s="42"/>
      <c r="H9" s="39" t="s">
        <v>66</v>
      </c>
      <c r="I9" s="30">
        <f ca="1">TODAY()</f>
        <v>44448</v>
      </c>
      <c r="J9" s="42"/>
    </row>
    <row r="10" spans="1:10" x14ac:dyDescent="0.25">
      <c r="E10" s="36"/>
      <c r="F10" s="36"/>
      <c r="G10" s="36"/>
      <c r="H10" s="36"/>
      <c r="I10" s="36"/>
      <c r="J10" s="36"/>
    </row>
    <row r="11" spans="1:10" x14ac:dyDescent="0.25">
      <c r="E11" s="38" t="s">
        <v>3</v>
      </c>
      <c r="F11" s="31" t="str">
        <f>IFERROR(VLOOKUP(F9,BROADSHEET!C4:U999,2,0),"no such adm")</f>
        <v>BOI</v>
      </c>
      <c r="G11" s="36"/>
      <c r="H11" s="37" t="s">
        <v>65</v>
      </c>
      <c r="I11" s="31">
        <f>IFERROR(VLOOKUP(F9,BROADSHEET!C4:U999,17,0),"")</f>
        <v>22</v>
      </c>
      <c r="J11" s="27"/>
    </row>
    <row r="12" spans="1:10" x14ac:dyDescent="0.25">
      <c r="E12" s="36"/>
      <c r="F12" s="36"/>
      <c r="G12" s="36"/>
      <c r="H12" s="36"/>
      <c r="I12" s="36"/>
      <c r="J12" s="36"/>
    </row>
    <row r="13" spans="1:10" x14ac:dyDescent="0.25">
      <c r="E13" s="38" t="s">
        <v>45</v>
      </c>
      <c r="F13" s="32">
        <f>IFERROR(VLOOKUP($E$13,BROADSHEET!$C$3:$U$3,2,TRUE),"")</f>
        <v>6</v>
      </c>
      <c r="G13" s="36"/>
      <c r="H13" s="36"/>
      <c r="I13" s="36"/>
      <c r="J13" s="36"/>
    </row>
    <row r="14" spans="1:10" x14ac:dyDescent="0.25">
      <c r="E14" s="36"/>
      <c r="F14" s="36"/>
      <c r="G14" s="36"/>
      <c r="H14" s="36"/>
      <c r="I14" s="36"/>
      <c r="J14" s="36"/>
    </row>
    <row r="15" spans="1:10" x14ac:dyDescent="0.25">
      <c r="E15" s="40" t="s">
        <v>62</v>
      </c>
      <c r="F15" s="40" t="s">
        <v>39</v>
      </c>
      <c r="G15" s="40" t="s">
        <v>41</v>
      </c>
      <c r="H15" s="40" t="s">
        <v>61</v>
      </c>
      <c r="I15" s="40" t="s">
        <v>60</v>
      </c>
      <c r="J15" s="40" t="s">
        <v>40</v>
      </c>
    </row>
    <row r="16" spans="1:10" x14ac:dyDescent="0.25">
      <c r="E16" s="24">
        <v>1</v>
      </c>
      <c r="F16" s="24" t="s">
        <v>5</v>
      </c>
      <c r="G16" s="24">
        <v>100</v>
      </c>
      <c r="H16" s="24">
        <f>IFERROR(VLOOKUP($F$9,BROADSHEET!$C$4:$U$999,6,0),"")</f>
        <v>66</v>
      </c>
      <c r="I16" s="33">
        <f>IFERROR((H16/G16),"")</f>
        <v>0.66</v>
      </c>
      <c r="J16" s="24" t="str">
        <f>IFERROR(VLOOKUP(H16,BROADSHEET!$Y$4:$Z$15,2,TRUE),"")</f>
        <v>B</v>
      </c>
    </row>
    <row r="17" spans="5:10" x14ac:dyDescent="0.25">
      <c r="E17" s="24">
        <v>2</v>
      </c>
      <c r="F17" s="24" t="s">
        <v>59</v>
      </c>
      <c r="G17" s="24">
        <v>100</v>
      </c>
      <c r="H17" s="24">
        <f>IFERROR(VLOOKUP($F$9,BROADSHEET!$C$4:$U$999,4,0),"")</f>
        <v>56</v>
      </c>
      <c r="I17" s="33">
        <f t="shared" ref="I17:I21" si="0">IFERROR((H17/G17),"")</f>
        <v>0.56000000000000005</v>
      </c>
      <c r="J17" s="24" t="str">
        <f>IFERROR(VLOOKUP(H17,BROADSHEET!$Y$4:$Z$15,2,TRUE),"")</f>
        <v>C+</v>
      </c>
    </row>
    <row r="18" spans="5:10" x14ac:dyDescent="0.25">
      <c r="E18" s="24">
        <v>3</v>
      </c>
      <c r="F18" s="24" t="s">
        <v>8</v>
      </c>
      <c r="G18" s="24">
        <v>100</v>
      </c>
      <c r="H18" s="24">
        <f>IFERROR(VLOOKUP($F$9,BROADSHEET!$C$4:$U$999,10,0),"")</f>
        <v>40</v>
      </c>
      <c r="I18" s="33">
        <f t="shared" si="0"/>
        <v>0.4</v>
      </c>
      <c r="J18" s="24" t="str">
        <f>IFERROR(VLOOKUP(H18,BROADSHEET!$Y$4:$Z$15,2,TRUE),"")</f>
        <v>D+</v>
      </c>
    </row>
    <row r="19" spans="5:10" x14ac:dyDescent="0.25">
      <c r="E19" s="24">
        <v>4</v>
      </c>
      <c r="F19" s="24" t="s">
        <v>7</v>
      </c>
      <c r="G19" s="24">
        <v>100</v>
      </c>
      <c r="H19" s="24">
        <f>IFERROR(VLOOKUP($F$9,BROADSHEET!$C$4:$U$999,8,0),"")</f>
        <v>45</v>
      </c>
      <c r="I19" s="33">
        <f t="shared" si="0"/>
        <v>0.45</v>
      </c>
      <c r="J19" s="24" t="str">
        <f>IFERROR(VLOOKUP(H19,BROADSHEET!$Y$4:$Z$15,2,TRUE),"")</f>
        <v>C-</v>
      </c>
    </row>
    <row r="20" spans="5:10" x14ac:dyDescent="0.25">
      <c r="E20" s="24">
        <v>5</v>
      </c>
      <c r="F20" s="24" t="s">
        <v>9</v>
      </c>
      <c r="G20" s="24">
        <v>100</v>
      </c>
      <c r="H20" s="24">
        <f>IFERROR(VLOOKUP($F$9,BROADSHEET!$C$4:$U$999,12,0),"")</f>
        <v>100</v>
      </c>
      <c r="I20" s="33">
        <f t="shared" si="0"/>
        <v>1</v>
      </c>
      <c r="J20" s="24" t="str">
        <f>IFERROR(VLOOKUP(H20,BROADSHEET!$Y$4:$Z$15,2,TRUE),"")</f>
        <v>A</v>
      </c>
    </row>
    <row r="21" spans="5:10" x14ac:dyDescent="0.25">
      <c r="E21" s="24"/>
      <c r="F21" s="24" t="s">
        <v>63</v>
      </c>
      <c r="G21" s="24">
        <f>SUM(G16:G20)</f>
        <v>500</v>
      </c>
      <c r="H21" s="24">
        <f>IFERROR(SUM(H16:H20),"")</f>
        <v>307</v>
      </c>
      <c r="I21" s="33">
        <f t="shared" si="0"/>
        <v>0.61399999999999999</v>
      </c>
      <c r="J21" s="24" t="str">
        <f>IFERROR(VLOOKUP($H$22,BROADSHEET!$W$4:$X$15,2,TRUE),"")</f>
        <v>C+</v>
      </c>
    </row>
    <row r="22" spans="5:10" x14ac:dyDescent="0.25">
      <c r="E22" s="36"/>
      <c r="F22" s="36"/>
      <c r="G22" s="34" t="s">
        <v>67</v>
      </c>
      <c r="H22" s="34">
        <f>IF(H21="","",H21/500*12)</f>
        <v>7.3680000000000003</v>
      </c>
      <c r="I22" s="33"/>
      <c r="J22" s="35" t="str">
        <f>IF($H$22="","",VLOOKUP($H$22,BROADSHEET!$W$4:$X$15,2,TRUE))</f>
        <v>C+</v>
      </c>
    </row>
    <row r="23" spans="5:10" x14ac:dyDescent="0.25">
      <c r="E23" s="67" t="str">
        <f>IFERROR(VLOOKUP($E$24,BROADSHEET!P3:S3,2,TRUE),"")</f>
        <v>mutiso</v>
      </c>
      <c r="F23" s="67"/>
      <c r="G23" s="67"/>
      <c r="H23" s="68"/>
      <c r="I23" s="67" t="str">
        <f>IFERROR(VLOOKUP($E$13,BROADSHEET!$C$3:$U$3,4,TRUE),"")</f>
        <v>MR kithusi</v>
      </c>
      <c r="J23" s="67"/>
    </row>
    <row r="24" spans="5:10" x14ac:dyDescent="0.25">
      <c r="E24" s="63" t="s">
        <v>64</v>
      </c>
      <c r="F24" s="63"/>
      <c r="G24" s="63"/>
      <c r="H24" s="69"/>
      <c r="I24" s="63" t="s">
        <v>46</v>
      </c>
      <c r="J24" s="63"/>
    </row>
    <row r="25" spans="5:10" x14ac:dyDescent="0.25">
      <c r="E25" s="57"/>
      <c r="F25" s="59"/>
      <c r="G25" s="59"/>
      <c r="H25" s="60"/>
      <c r="I25" s="59"/>
      <c r="J25" s="61"/>
    </row>
    <row r="26" spans="5:10" x14ac:dyDescent="0.25">
      <c r="E26" s="58"/>
      <c r="F26" s="60"/>
      <c r="G26" s="60"/>
      <c r="H26" s="60"/>
      <c r="I26" s="60"/>
      <c r="J26" s="62"/>
    </row>
  </sheetData>
  <sheetProtection algorithmName="SHA-512" hashValue="9ban804Zc/indkzn5sS7QRPFlL8iHtYOAYEAJ8O8SBb+b5wPhz7YRp0TyI3+4FjHyOjb5ABm/viFUwifzNznxw==" saltValue="AF5eXxETZJv0ZjwoGrMuNg==" spinCount="100000" sheet="1" objects="1" scenarios="1"/>
  <mergeCells count="14">
    <mergeCell ref="E24:G24"/>
    <mergeCell ref="I24:J24"/>
    <mergeCell ref="E4:J4"/>
    <mergeCell ref="E5:J5"/>
    <mergeCell ref="E7:I7"/>
    <mergeCell ref="E23:G23"/>
    <mergeCell ref="I23:J23"/>
    <mergeCell ref="H23:H24"/>
    <mergeCell ref="E25:E26"/>
    <mergeCell ref="F25:F26"/>
    <mergeCell ref="G25:G26"/>
    <mergeCell ref="I25:I26"/>
    <mergeCell ref="J25:J26"/>
    <mergeCell ref="H25:H26"/>
  </mergeCells>
  <conditionalFormatting sqref="I16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ellIs" dxfId="4" priority="6" operator="lessThan">
      <formula>0.73</formula>
    </cfRule>
  </conditionalFormatting>
  <conditionalFormatting sqref="I16">
    <cfRule type="cellIs" dxfId="3" priority="4" operator="greaterThan">
      <formula>0.8</formula>
    </cfRule>
    <cfRule type="cellIs" dxfId="2" priority="5" operator="lessThan">
      <formula>0.78</formula>
    </cfRule>
  </conditionalFormatting>
  <conditionalFormatting sqref="I17">
    <cfRule type="cellIs" dxfId="1" priority="3" operator="greaterThan">
      <formula>0.7</formula>
    </cfRule>
  </conditionalFormatting>
  <conditionalFormatting sqref="I18">
    <cfRule type="cellIs" dxfId="0" priority="2" operator="greaterThan">
      <formula>0.6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BROADSHEET</vt:lpstr>
      <vt:lpstr>REPORTCARDS</vt:lpstr>
      <vt:lpstr>BROADSHEET!Print_Area</vt:lpstr>
      <vt:lpstr>REPORTCARDS!Print_Area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partohDBMS-DEV</dc:creator>
  <cp:lastModifiedBy>partohDBMS-DEV</cp:lastModifiedBy>
  <cp:lastPrinted>2021-09-08T07:25:49Z</cp:lastPrinted>
  <dcterms:created xsi:type="dcterms:W3CDTF">2021-06-14T11:04:41Z</dcterms:created>
  <dcterms:modified xsi:type="dcterms:W3CDTF">2021-09-09T19:14:29Z</dcterms:modified>
</cp:coreProperties>
</file>